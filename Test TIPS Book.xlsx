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38400" windowHeight="22340" tabRatio="600" firstSheet="0" activeTab="0" autoFilterDateGrouping="1"/>
  </bookViews>
  <sheets>
    <sheet name="User Input" sheetId="1" state="visible" r:id="rId1"/>
    <sheet name="Ladder" sheetId="2" state="visible" r:id="rId2"/>
    <sheet name="DownloadedData" sheetId="3" state="visible" r:id="rId3"/>
  </sheets>
  <definedNames/>
  <calcPr calcId="191029" fullCalcOnLoad="1"/>
</workbook>
</file>

<file path=xl/styles.xml><?xml version="1.0" encoding="utf-8"?>
<styleSheet xmlns="http://schemas.openxmlformats.org/spreadsheetml/2006/main">
  <numFmts count="5">
    <numFmt numFmtId="164" formatCode="m/d/yyyy;@"/>
    <numFmt numFmtId="165" formatCode="mm/dd/yy;@"/>
    <numFmt numFmtId="166" formatCode="&quot;$&quot;#,##0.00"/>
    <numFmt numFmtId="167" formatCode="0.000%"/>
    <numFmt numFmtId="168" formatCode="0.0%"/>
  </numFmts>
  <fonts count="10">
    <font>
      <name val="Calibri"/>
      <family val="2"/>
      <color theme="1"/>
      <sz val="12"/>
      <scheme val="minor"/>
    </font>
    <font>
      <name val="Calibri"/>
      <family val="2"/>
      <color theme="1"/>
      <sz val="12"/>
      <scheme val="minor"/>
    </font>
    <font>
      <name val="Calibri (Body)"/>
      <color rgb="FFFF0000"/>
      <sz val="12"/>
    </font>
    <font>
      <name val="Calibri (Body)"/>
      <color theme="9"/>
      <sz val="12"/>
    </font>
    <font>
      <name val="Calibri"/>
      <family val="2"/>
      <color theme="1"/>
      <sz val="14"/>
      <scheme val="minor"/>
    </font>
    <font>
      <name val="Calibri"/>
      <family val="2"/>
      <color theme="1"/>
      <sz val="16"/>
      <scheme val="minor"/>
    </font>
    <font>
      <name val="Calibri"/>
      <family val="2"/>
      <i val="1"/>
      <color theme="1"/>
      <sz val="14"/>
      <scheme val="minor"/>
    </font>
    <font>
      <name val="Calibri (Body)"/>
      <color theme="1"/>
      <sz val="12"/>
    </font>
    <font>
      <name val="Calibri (Body)"/>
      <color rgb="FFFF0000"/>
      <sz val="16"/>
    </font>
    <font>
      <b val="1"/>
    </font>
  </fonts>
  <fills count="2">
    <fill>
      <patternFill/>
    </fill>
    <fill>
      <patternFill patternType="gray125"/>
    </fill>
  </fills>
  <borders count="2">
    <border>
      <left/>
      <right/>
      <top/>
      <bottom/>
      <diagonal/>
    </border>
    <border>
      <left style="thin"/>
      <right style="thin"/>
      <top style="thin"/>
      <bottom style="thin"/>
    </border>
  </borders>
  <cellStyleXfs count="3">
    <xf numFmtId="0" fontId="1" fillId="0" borderId="0"/>
    <xf numFmtId="9" fontId="1" fillId="0" borderId="0"/>
    <xf numFmtId="44" fontId="1" fillId="0" borderId="0"/>
  </cellStyleXfs>
  <cellXfs count="26">
    <xf numFmtId="0" fontId="0" fillId="0" borderId="0" pivotButton="0" quotePrefix="0" xfId="0"/>
    <xf numFmtId="14" fontId="0" fillId="0" borderId="0" pivotButton="0" quotePrefix="0" xfId="0"/>
    <xf numFmtId="164" fontId="0" fillId="0" borderId="0" pivotButton="0" quotePrefix="0" xfId="0"/>
    <xf numFmtId="0" fontId="0" fillId="0" borderId="0" applyAlignment="1" pivotButton="0" quotePrefix="0" xfId="0">
      <alignment wrapText="1"/>
    </xf>
    <xf numFmtId="165" fontId="0" fillId="0" borderId="0" pivotButton="0" quotePrefix="0" xfId="0"/>
    <xf numFmtId="0" fontId="5" fillId="0" borderId="0" applyAlignment="1" pivotButton="0" quotePrefix="0" xfId="0">
      <alignment horizontal="left"/>
    </xf>
    <xf numFmtId="0" fontId="5" fillId="0" borderId="0" applyAlignment="1" pivotButton="0" quotePrefix="0" xfId="0">
      <alignment horizontal="left" wrapText="1"/>
    </xf>
    <xf numFmtId="0" fontId="5" fillId="0" borderId="0" applyAlignment="1" pivotButton="0" quotePrefix="0" xfId="0">
      <alignment wrapText="1"/>
    </xf>
    <xf numFmtId="166" fontId="0" fillId="0" borderId="0" pivotButton="0" quotePrefix="0" xfId="0"/>
    <xf numFmtId="0" fontId="4" fillId="0" borderId="0" applyAlignment="1" pivotButton="0" quotePrefix="0" xfId="0">
      <alignment wrapText="1"/>
    </xf>
    <xf numFmtId="9" fontId="0" fillId="0" borderId="0" pivotButton="0" quotePrefix="0" xfId="1"/>
    <xf numFmtId="0" fontId="4" fillId="0" borderId="0" pivotButton="0" quotePrefix="0" xfId="0"/>
    <xf numFmtId="2" fontId="0" fillId="0" borderId="0" pivotButton="0" quotePrefix="0" xfId="0"/>
    <xf numFmtId="1" fontId="0" fillId="0" borderId="0" pivotButton="0" quotePrefix="0" xfId="0"/>
    <xf numFmtId="2" fontId="0" fillId="0" borderId="0" applyAlignment="1" pivotButton="0" quotePrefix="0" xfId="0">
      <alignment wrapText="1"/>
    </xf>
    <xf numFmtId="167" fontId="0" fillId="0" borderId="0" pivotButton="0" quotePrefix="0" xfId="1"/>
    <xf numFmtId="0" fontId="7" fillId="0" borderId="0" applyAlignment="1" pivotButton="0" quotePrefix="0" xfId="0">
      <alignment wrapText="1"/>
    </xf>
    <xf numFmtId="166" fontId="0" fillId="0" borderId="0" pivotButton="0" quotePrefix="0" xfId="2"/>
    <xf numFmtId="166" fontId="0" fillId="0" borderId="0" applyAlignment="1" pivotButton="0" quotePrefix="0" xfId="2">
      <alignment wrapText="1"/>
    </xf>
    <xf numFmtId="166" fontId="0" fillId="0" borderId="0" applyAlignment="1" pivotButton="0" quotePrefix="0" xfId="0">
      <alignment wrapText="1"/>
    </xf>
    <xf numFmtId="167" fontId="0" fillId="0" borderId="0" pivotButton="0" quotePrefix="0" xfId="0"/>
    <xf numFmtId="167" fontId="0" fillId="0" borderId="0" applyAlignment="1" pivotButton="0" quotePrefix="0" xfId="0">
      <alignment wrapText="1"/>
    </xf>
    <xf numFmtId="168" fontId="0" fillId="0" borderId="0" pivotButton="0" quotePrefix="0" xfId="1"/>
    <xf numFmtId="1" fontId="0" fillId="0" borderId="0" applyAlignment="1" pivotButton="0" quotePrefix="0" xfId="0">
      <alignment wrapText="1"/>
    </xf>
    <xf numFmtId="0" fontId="0" fillId="0" borderId="0" pivotButton="0" quotePrefix="1" xfId="0"/>
    <xf numFmtId="0" fontId="9" fillId="0" borderId="1" applyAlignment="1" pivotButton="0" quotePrefix="0" xfId="0">
      <alignment horizontal="center" vertical="top"/>
    </xf>
  </cellXfs>
  <cellStyles count="3">
    <cellStyle name="Normal" xfId="0" builtinId="0"/>
    <cellStyle name="Percent" xfId="1" builtinId="5"/>
    <cellStyle name="Currency" xfId="2" builtinId="4"/>
  </cellStyles>
  <dxfs count="5">
    <dxf>
      <font>
        <color theme="9"/>
      </font>
    </dxf>
    <dxf>
      <font>
        <color rgb="FFFF0000"/>
      </font>
    </dxf>
    <dxf>
      <numFmt numFmtId="19" formatCode="m/d/yy"/>
    </dxf>
    <dxf>
      <numFmt numFmtId="19" formatCode="m/d/yy"/>
    </dxf>
    <dxf>
      <numFmt numFmtId="19" formatCode="m/d/yy"/>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FK18"/>
  <sheetViews>
    <sheetView tabSelected="1" zoomScale="130" zoomScaleNormal="130" workbookViewId="0">
      <pane xSplit="1" topLeftCell="B1" activePane="topRight" state="frozen"/>
      <selection pane="topRight" activeCell="B3" sqref="B3"/>
    </sheetView>
  </sheetViews>
  <sheetFormatPr baseColWidth="10" defaultRowHeight="16"/>
  <cols>
    <col width="110.1640625" customWidth="1" min="1" max="1"/>
    <col width="15.33203125" customWidth="1" min="2" max="2"/>
    <col width="12.6640625" bestFit="1" customWidth="1" min="3" max="3"/>
    <col width="11.1640625" bestFit="1" customWidth="1" min="4" max="4"/>
  </cols>
  <sheetData>
    <row r="1" ht="21" customHeight="1">
      <c r="A1" s="5" t="inlineStr">
        <is>
          <t>1.  In the next column, enter today's date (mm/dd/yyyy).</t>
        </is>
      </c>
      <c r="B1" s="4" t="n">
        <v>46024</v>
      </c>
      <c r="C1" s="4" t="n"/>
      <c r="D1" s="4" t="n"/>
      <c r="E1" s="4" t="n"/>
      <c r="F1" s="4" t="n"/>
      <c r="G1" s="4" t="n"/>
      <c r="H1" s="4" t="n"/>
      <c r="I1" s="4" t="n"/>
      <c r="J1" s="4" t="n"/>
      <c r="K1" s="4" t="n"/>
      <c r="L1" s="4" t="n"/>
      <c r="M1" s="4" t="n"/>
    </row>
    <row r="2" ht="88" customHeight="1">
      <c r="A2" s="6" t="inlineStr">
        <is>
          <t>2.  In the next column, enter the first year of your ladder (yyyy).  In the column immediately to the right of that column, enter the last year of your ladder (yyyy) [Note that the first year may not be earlier than the current year, and the last year may not be more than 30 years after the current year (as no TIPS have more than a 30-year maturity).</t>
        </is>
      </c>
      <c r="B2" s="13" t="n">
        <v>2028</v>
      </c>
      <c r="C2" s="13" t="n">
        <v>2066</v>
      </c>
    </row>
    <row r="3" ht="66" customHeight="1">
      <c r="A3" s="7" t="inlineStr">
        <is>
          <t>3.  In the next column, enter the most common amount of after-tax "real" income do you want to realize from your TIPS ladder in each year.  [Note:  I picked $33,000 in Jan 2023 and then inflated using CPI-U.]</t>
        </is>
      </c>
      <c r="B3" s="8" t="n">
        <v>37000</v>
      </c>
    </row>
    <row r="4" ht="66" customHeight="1">
      <c r="A4" s="7" t="inlineStr">
        <is>
          <t>4.  In the next columns, starting with the earliest applicable year, enter the years (one year per column in the yyyy format) in which you want to realize an amount of "real" income that differs from the most common amount entered in response to question 3.  Then see question 5.</t>
        </is>
      </c>
      <c r="B4" t="n">
        <v>2033</v>
      </c>
      <c r="C4" t="n">
        <v>2040</v>
      </c>
    </row>
    <row r="5" ht="88" customHeight="1">
      <c r="A5" s="7" t="inlineStr">
        <is>
          <t>5.  Below each of the applicable years entered in response to question 4, enter the amount of "real" income you want to realize in that year.  [Note:  Because, as of the preparation of ths spreadsheet, no TIPS that mature in year 2035 through year 2039 (the "Gap Years"), the user may want to increase the amount of desired "real" income in 2033 and 2040 to cover the Gap Years."]</t>
        </is>
      </c>
      <c r="B5" s="8" t="n">
        <v>37000</v>
      </c>
      <c r="C5" s="8" t="n">
        <v>148000</v>
      </c>
      <c r="D5" s="8" t="n"/>
      <c r="E5" s="8" t="n"/>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c r="AF5" s="8" t="n"/>
      <c r="AG5" s="8" t="n"/>
      <c r="AH5" s="8" t="n"/>
      <c r="AI5" s="8" t="n"/>
      <c r="AJ5" s="8" t="n"/>
      <c r="AK5" s="8" t="n"/>
      <c r="AL5" s="8" t="n"/>
      <c r="AM5" s="8" t="n"/>
      <c r="AN5" s="8" t="n"/>
      <c r="AO5" s="8" t="n"/>
      <c r="AP5" s="8" t="n"/>
      <c r="AQ5" s="8" t="n"/>
      <c r="AR5" s="8" t="n"/>
      <c r="AS5" s="8" t="n"/>
      <c r="AT5" s="8" t="n"/>
      <c r="AU5" s="8" t="n"/>
      <c r="AV5" s="8" t="n"/>
      <c r="AW5" s="8" t="n"/>
      <c r="AX5" s="8" t="n"/>
      <c r="AY5" s="8" t="n"/>
      <c r="AZ5" s="8" t="n"/>
      <c r="BA5" s="8" t="n"/>
      <c r="BB5" s="8" t="n"/>
    </row>
    <row r="6" ht="44" customHeight="1">
      <c r="A6" s="7" t="inlineStr">
        <is>
          <t>6.  If you already own TIPS that you want to be  included in your ladder, answer questions (a), (b), (c), and (d) immediately below.</t>
        </is>
      </c>
    </row>
    <row r="7" ht="100" customHeight="1">
      <c r="A7" s="9" t="inlineStr">
        <is>
          <t>a.  In the next columns, enter the maturity dates of such existing TIPS (mm/dd/yyyy).  If you have existing TIPS with the same maturity date but with different coupon rates, enter the date multiple times (in multiple columns), once for each coupon rate. [Mike to think through what happens if there are TIPS with the same maturity date and coupon but different issue dates (none of which currently exist), thus having different Index Factors.  Should I require entry of Issue Date (which is not in Fidelity download) or Cusip?]</t>
        </is>
      </c>
      <c r="B7" s="1" t="n"/>
      <c r="C7" s="4" t="n"/>
      <c r="D7" s="4" t="n"/>
      <c r="E7" s="4" t="n">
        <v>46767</v>
      </c>
      <c r="F7" s="4" t="n">
        <v>47133</v>
      </c>
      <c r="G7" s="4" t="n">
        <v>47498</v>
      </c>
      <c r="H7" s="4" t="n">
        <v>47863</v>
      </c>
      <c r="I7" s="4" t="n">
        <v>48319</v>
      </c>
      <c r="J7" s="4" t="n">
        <v>48594</v>
      </c>
      <c r="K7" s="4" t="n">
        <v>48959</v>
      </c>
      <c r="L7" s="4" t="n">
        <v>49324</v>
      </c>
      <c r="M7" s="4" t="n">
        <v>49689</v>
      </c>
      <c r="N7" s="4" t="n">
        <v>51181</v>
      </c>
      <c r="O7" s="4" t="n">
        <v>51547</v>
      </c>
      <c r="P7" s="4" t="n">
        <v>51912</v>
      </c>
      <c r="Q7" s="4" t="n">
        <v>52277</v>
      </c>
      <c r="R7" s="4" t="n">
        <v>52642</v>
      </c>
      <c r="S7" s="4" t="n">
        <v>53008</v>
      </c>
      <c r="T7" s="4" t="n">
        <v>53373</v>
      </c>
      <c r="U7" s="4" t="n">
        <v>53738</v>
      </c>
      <c r="V7" s="4" t="n">
        <v>54103</v>
      </c>
      <c r="W7" s="4" t="n">
        <v>54469</v>
      </c>
      <c r="X7" s="4" t="n">
        <v>54834</v>
      </c>
      <c r="Y7" s="4" t="n">
        <v>55199</v>
      </c>
      <c r="Z7" s="4" t="n">
        <v>55564</v>
      </c>
      <c r="AA7" s="4" t="n">
        <v>55930</v>
      </c>
      <c r="AB7" s="4" t="n">
        <v>56295</v>
      </c>
      <c r="AC7" s="4" t="n">
        <v>56660</v>
      </c>
      <c r="AD7" s="4" t="n"/>
      <c r="AE7" s="4" t="n"/>
      <c r="AF7" s="4" t="n"/>
      <c r="AG7" s="4" t="n"/>
      <c r="AH7" s="4" t="n"/>
      <c r="AI7" s="4" t="n"/>
      <c r="AJ7" s="4" t="n"/>
      <c r="AK7" s="4" t="n"/>
      <c r="AL7" s="4" t="n"/>
      <c r="AM7" s="4" t="n"/>
      <c r="AN7" s="4" t="n"/>
      <c r="AO7" s="4" t="n"/>
      <c r="AP7" s="4" t="n"/>
      <c r="AQ7" s="4" t="n"/>
      <c r="AR7" s="4" t="n"/>
      <c r="AS7" s="4" t="n"/>
      <c r="AT7" s="4" t="n"/>
      <c r="AU7" s="4" t="n"/>
      <c r="AV7" s="4" t="n"/>
      <c r="AW7" s="4" t="n"/>
      <c r="AX7" s="4" t="n"/>
      <c r="AY7" s="4" t="n"/>
      <c r="AZ7" s="4" t="n"/>
      <c r="BA7" s="4" t="n"/>
      <c r="BB7" s="4" t="n"/>
      <c r="BC7" s="4" t="n"/>
      <c r="BD7" s="4" t="n"/>
      <c r="BE7" s="4" t="n"/>
      <c r="BF7" s="4" t="n"/>
      <c r="BG7" s="4" t="n"/>
      <c r="BH7" s="4" t="n"/>
      <c r="BI7" s="4" t="n"/>
      <c r="BJ7" s="4" t="n"/>
      <c r="BK7" s="4" t="n"/>
      <c r="BL7" s="4" t="n"/>
      <c r="BM7" s="4" t="n"/>
      <c r="BN7" s="4" t="n"/>
      <c r="BO7" s="4" t="n"/>
      <c r="BP7" s="4" t="n"/>
      <c r="BQ7" s="4" t="n"/>
      <c r="BR7" s="4" t="n"/>
      <c r="BS7" s="4" t="n"/>
      <c r="BT7" s="4" t="n"/>
      <c r="BU7" s="4" t="n"/>
      <c r="BV7" s="4" t="n"/>
      <c r="BW7" s="4" t="n"/>
      <c r="BX7" s="4" t="n"/>
      <c r="BY7" s="4" t="n"/>
      <c r="BZ7" s="4" t="n"/>
      <c r="CA7" s="4" t="n"/>
      <c r="CB7" s="4" t="n"/>
      <c r="CC7" s="4" t="n"/>
      <c r="CD7" s="4" t="n"/>
      <c r="CE7" s="4" t="n"/>
      <c r="CF7" s="4" t="n"/>
      <c r="CG7" s="4" t="n"/>
      <c r="CH7" s="4" t="n"/>
      <c r="CI7" s="4" t="n"/>
      <c r="CJ7" s="4" t="n"/>
      <c r="CK7" s="4" t="n"/>
      <c r="CL7" s="4" t="n"/>
      <c r="CM7" s="4" t="n"/>
      <c r="CN7" s="4" t="n"/>
      <c r="CO7" s="4" t="n"/>
      <c r="CP7" s="4" t="n"/>
      <c r="CQ7" s="4" t="n"/>
      <c r="CR7" s="4" t="n"/>
      <c r="CS7" s="4" t="n"/>
      <c r="CT7" s="4" t="n"/>
      <c r="CU7" s="4" t="n"/>
      <c r="CV7" s="4" t="n"/>
      <c r="CW7" s="4" t="n"/>
      <c r="CX7" s="4" t="n"/>
      <c r="CY7" s="4" t="n"/>
      <c r="CZ7" s="4" t="n"/>
      <c r="DA7" s="4" t="n"/>
      <c r="DB7" s="4" t="n"/>
      <c r="DC7" s="4" t="n"/>
      <c r="DD7" s="4" t="n"/>
      <c r="DE7" s="4" t="n"/>
      <c r="DF7" s="4" t="n"/>
      <c r="DG7" s="4" t="n"/>
      <c r="DH7" s="4" t="n"/>
      <c r="DI7" s="4" t="n"/>
      <c r="DJ7" s="4" t="n"/>
      <c r="DK7" s="4" t="n"/>
      <c r="DL7" s="4" t="n"/>
      <c r="DM7" s="4" t="n"/>
      <c r="DN7" s="4" t="n"/>
      <c r="DO7" s="4" t="n"/>
      <c r="DP7" s="4" t="n"/>
      <c r="DQ7" s="4" t="n"/>
      <c r="DR7" s="4" t="n"/>
      <c r="DS7" s="4" t="n"/>
      <c r="DT7" s="4" t="n"/>
      <c r="DU7" s="4" t="n"/>
      <c r="DV7" s="4" t="n"/>
      <c r="DW7" s="4" t="n"/>
      <c r="DX7" s="4" t="n"/>
      <c r="DY7" s="4" t="n"/>
      <c r="DZ7" s="4" t="n"/>
      <c r="EA7" s="4" t="n"/>
      <c r="EB7" s="4" t="n"/>
      <c r="EC7" s="4" t="n"/>
      <c r="ED7" s="4" t="n"/>
      <c r="EE7" s="4" t="n"/>
      <c r="EF7" s="4" t="n"/>
      <c r="EG7" s="4" t="n"/>
      <c r="EH7" s="4" t="n"/>
      <c r="EI7" s="4" t="n"/>
      <c r="EJ7" s="4" t="n"/>
      <c r="EK7" s="4" t="n"/>
      <c r="EL7" s="4" t="n"/>
      <c r="EM7" s="4" t="n"/>
      <c r="EN7" s="4" t="n"/>
      <c r="EO7" s="4" t="n"/>
      <c r="EP7" s="4" t="n"/>
      <c r="EQ7" s="4" t="n"/>
      <c r="ER7" s="4" t="n"/>
      <c r="ES7" s="4" t="n"/>
      <c r="ET7" s="4" t="n"/>
      <c r="EU7" s="4" t="n"/>
      <c r="EV7" s="4" t="n"/>
      <c r="EW7" s="4" t="n"/>
      <c r="EX7" s="4" t="n"/>
      <c r="EY7" s="4" t="n"/>
      <c r="EZ7" s="4" t="n"/>
      <c r="FA7" s="4" t="n"/>
      <c r="FB7" s="4" t="n"/>
      <c r="FC7" s="4" t="n"/>
      <c r="FD7" s="4" t="n"/>
      <c r="FE7" s="4" t="n"/>
      <c r="FF7" s="4" t="n"/>
      <c r="FG7" s="4" t="n"/>
      <c r="FH7" s="4" t="n"/>
      <c r="FI7" s="4" t="n"/>
      <c r="FJ7" s="4" t="n"/>
      <c r="FK7" s="4" t="n"/>
    </row>
    <row r="8" ht="20" customHeight="1">
      <c r="A8" s="9" t="inlineStr">
        <is>
          <t>b.  In the next columns, enter the stated coupon rate of the TIPS maturing on such date.</t>
        </is>
      </c>
      <c r="B8" s="15" t="n"/>
      <c r="C8" s="15" t="n"/>
      <c r="D8" s="15" t="n"/>
      <c r="E8" s="15" t="n">
        <v>0.005</v>
      </c>
      <c r="F8" s="15" t="n">
        <v>0.025</v>
      </c>
      <c r="G8" s="15" t="n">
        <v>0.00125</v>
      </c>
      <c r="H8" s="15" t="n">
        <v>0.00125</v>
      </c>
      <c r="I8" s="15" t="n">
        <v>0.03375</v>
      </c>
      <c r="J8" s="15" t="n">
        <v>0.01125</v>
      </c>
      <c r="K8" s="15" t="n">
        <v>0.0175</v>
      </c>
      <c r="L8" s="15" t="n">
        <v>0.02125</v>
      </c>
      <c r="M8" s="15" t="n">
        <v>0.01875</v>
      </c>
      <c r="N8" s="15" t="n">
        <v>0.02125</v>
      </c>
      <c r="O8" s="15" t="n">
        <v>0.02125</v>
      </c>
      <c r="P8" s="15" t="n">
        <v>0.0075</v>
      </c>
      <c r="Q8" s="15" t="n">
        <v>0.00625</v>
      </c>
      <c r="R8" s="15" t="n">
        <v>0.01375</v>
      </c>
      <c r="S8" s="15" t="n">
        <v>0.0075</v>
      </c>
      <c r="T8" s="15" t="n">
        <v>0.01</v>
      </c>
      <c r="U8" s="15" t="n">
        <v>0.008750000000000001</v>
      </c>
      <c r="V8" s="15" t="n">
        <v>0.01</v>
      </c>
      <c r="W8" s="15" t="n">
        <v>0.01</v>
      </c>
      <c r="X8" s="15" t="n">
        <v>0.0025</v>
      </c>
      <c r="Y8" s="15" t="n">
        <v>0.00125</v>
      </c>
      <c r="Z8" s="15" t="n">
        <v>0.00125</v>
      </c>
      <c r="AA8" s="15" t="n">
        <v>0.015</v>
      </c>
      <c r="AB8" s="15" t="n">
        <v>0.02125</v>
      </c>
      <c r="AC8" s="15" t="n">
        <v>0.02375</v>
      </c>
      <c r="AD8" s="15" t="n"/>
      <c r="AE8" s="15" t="n"/>
      <c r="AF8" s="15" t="n"/>
      <c r="AG8" s="15" t="n"/>
      <c r="AH8" s="15" t="n"/>
      <c r="AI8" s="15" t="n"/>
      <c r="AJ8" s="15" t="n"/>
      <c r="AK8" s="15" t="n"/>
      <c r="AL8" s="15" t="n"/>
      <c r="AM8" s="15" t="n"/>
      <c r="AN8" s="15" t="n"/>
      <c r="AO8" s="15" t="n"/>
      <c r="AP8" s="15" t="n"/>
      <c r="AQ8" s="15" t="n"/>
      <c r="AR8" s="15" t="n"/>
      <c r="AS8" s="15" t="n"/>
      <c r="AT8" s="15" t="n"/>
      <c r="AU8" s="15" t="n"/>
      <c r="AV8" s="15" t="n"/>
      <c r="AW8" s="15" t="n"/>
      <c r="AX8" s="15" t="n"/>
      <c r="AY8" s="15" t="n"/>
      <c r="AZ8" s="15" t="n"/>
      <c r="BA8" s="15" t="n"/>
      <c r="BB8" s="15" t="n"/>
      <c r="BC8" s="15" t="n"/>
      <c r="BD8" s="15" t="n"/>
      <c r="BE8" s="15" t="n"/>
      <c r="BF8" s="15" t="n"/>
      <c r="BG8" s="15" t="n"/>
      <c r="BH8" s="15" t="n"/>
      <c r="BI8" s="15" t="n"/>
      <c r="BJ8" s="15" t="n"/>
      <c r="BK8" s="15" t="n"/>
      <c r="BL8" s="15" t="n"/>
      <c r="BM8" s="15" t="n"/>
      <c r="BN8" s="15" t="n"/>
      <c r="BO8" s="15" t="n"/>
      <c r="BP8" s="15" t="n"/>
      <c r="BQ8" s="15" t="n"/>
      <c r="BR8" s="15" t="n"/>
      <c r="BS8" s="15" t="n"/>
      <c r="BT8" s="15" t="n"/>
      <c r="BU8" s="15" t="n"/>
      <c r="BV8" s="15" t="n"/>
      <c r="BW8" s="15" t="n"/>
      <c r="BX8" s="15" t="n"/>
      <c r="BY8" s="15" t="n"/>
      <c r="BZ8" s="15" t="n"/>
      <c r="CA8" s="15" t="n"/>
      <c r="CB8" s="15" t="n"/>
      <c r="CC8" s="15" t="n"/>
      <c r="CD8" s="15" t="n"/>
      <c r="CE8" s="15" t="n"/>
      <c r="CF8" s="15" t="n"/>
      <c r="CG8" s="15" t="n"/>
      <c r="CH8" s="15" t="n"/>
      <c r="CI8" s="15" t="n"/>
      <c r="CJ8" s="15" t="n"/>
      <c r="CK8" s="15" t="n"/>
      <c r="CL8" s="15" t="n"/>
      <c r="CM8" s="15" t="n"/>
      <c r="CN8" s="10" t="n"/>
      <c r="CO8" s="10" t="n"/>
      <c r="CP8" s="10" t="n"/>
      <c r="CQ8" s="10" t="n"/>
      <c r="CR8" s="10" t="n"/>
      <c r="CS8" s="10" t="n"/>
      <c r="CT8" s="10" t="n"/>
      <c r="CU8" s="10" t="n"/>
      <c r="CV8" s="10" t="n"/>
      <c r="CW8" s="10" t="n"/>
      <c r="CX8" s="10" t="n"/>
      <c r="CY8" s="10" t="n"/>
      <c r="CZ8" s="10" t="n"/>
    </row>
    <row r="9" ht="40" customHeight="1">
      <c r="A9" s="9" t="inlineStr">
        <is>
          <t>c.  In the next columns, enter the quantity of such existing TIPS (each TIPS having an original principal amount of $1,000) that you hold in a regular taxable brokerage account.</t>
        </is>
      </c>
      <c r="E9" t="n">
        <v>25</v>
      </c>
      <c r="F9" t="n">
        <v>22</v>
      </c>
      <c r="G9" t="n">
        <v>26</v>
      </c>
      <c r="H9" t="n">
        <v>0</v>
      </c>
      <c r="I9" t="n">
        <v>15</v>
      </c>
      <c r="J9" t="n">
        <v>19</v>
      </c>
      <c r="N9" t="n">
        <v>0</v>
      </c>
      <c r="O9" t="n">
        <v>0</v>
      </c>
      <c r="P9" t="n">
        <v>9</v>
      </c>
      <c r="Q9" t="n">
        <v>15</v>
      </c>
      <c r="R9" t="n">
        <v>15</v>
      </c>
      <c r="T9" t="n">
        <v>8</v>
      </c>
      <c r="U9" t="n">
        <v>8</v>
      </c>
      <c r="V9" t="n">
        <v>8</v>
      </c>
      <c r="W9" t="n">
        <v>8</v>
      </c>
      <c r="X9" t="n">
        <v>4</v>
      </c>
      <c r="Y9" t="n">
        <v>18</v>
      </c>
      <c r="Z9" t="n">
        <v>19</v>
      </c>
      <c r="AB9" t="n">
        <v>11</v>
      </c>
      <c r="AC9" t="n">
        <v>33</v>
      </c>
    </row>
    <row r="10" ht="40" customHeight="1">
      <c r="A10" s="9" t="inlineStr">
        <is>
          <t>d.  In the next columns, enter the quantity of such existing TIPS (each TIPS having an original principal amount of $1,000) that you hold in a pretax retirement account.</t>
        </is>
      </c>
      <c r="H10" t="n">
        <v>10</v>
      </c>
      <c r="J10" t="n">
        <v>24</v>
      </c>
      <c r="L10" t="n">
        <v>33</v>
      </c>
      <c r="M10" t="n">
        <v>39</v>
      </c>
      <c r="N10" t="n">
        <v>131</v>
      </c>
      <c r="O10" t="n">
        <v>30</v>
      </c>
      <c r="P10" t="n">
        <v>20</v>
      </c>
      <c r="Q10" t="n">
        <v>13</v>
      </c>
      <c r="R10" t="n">
        <v>13</v>
      </c>
      <c r="S10" t="n">
        <v>33</v>
      </c>
      <c r="T10" t="n">
        <v>24</v>
      </c>
      <c r="U10" t="n">
        <v>24</v>
      </c>
      <c r="V10" t="n">
        <v>25</v>
      </c>
      <c r="W10" t="n">
        <v>25</v>
      </c>
      <c r="X10" t="n">
        <v>32</v>
      </c>
      <c r="Y10" t="n">
        <v>15</v>
      </c>
      <c r="Z10" t="n">
        <v>16</v>
      </c>
      <c r="AA10" t="n">
        <v>14</v>
      </c>
      <c r="AC10" t="n">
        <v>2</v>
      </c>
    </row>
    <row r="11" ht="40" customHeight="1">
      <c r="A11" s="9" t="inlineStr">
        <is>
          <t>e.  In the next columns, enter the quantity of such existing TIPS (each TIPS having an original principal amount of $1,000) that you hold in a Roth account.</t>
        </is>
      </c>
      <c r="H11" t="n">
        <v>18</v>
      </c>
      <c r="K11" t="n">
        <v>34</v>
      </c>
      <c r="AA11" t="n">
        <v>22</v>
      </c>
      <c r="AB11" t="n">
        <v>23</v>
      </c>
    </row>
    <row r="12" ht="132" customHeight="1">
      <c r="A12" s="7" t="inlineStr">
        <is>
          <t>7.  To "tax effect" the calculations in this spreadsheet, replace the percentage in the next column with your marginal income tax rate.  Doing so will (i) except with respect to TIPS held in a Roth account, cause the "Current Dollar Annual Coupon Payments, Adjusted for Taxes" to be reduced based on such tax rate, and (ii) with respect to TIPS owned in a pretax retirement account, cause the "Principal of TIPS Already Owned" to be reduced based on such tax rate. Note that there is no tax effect for the "phantom income" of TIPS held in regular taxable brokerage accounts.</t>
        </is>
      </c>
      <c r="B12" s="22" t="n">
        <v>0.24</v>
      </c>
    </row>
    <row r="13" ht="19" customHeight="1">
      <c r="A13" s="11" t="n"/>
    </row>
    <row r="14" ht="19" customHeight="1">
      <c r="A14" s="9" t="n"/>
    </row>
    <row r="15" ht="19" customHeight="1">
      <c r="A15" s="9" t="n"/>
    </row>
    <row r="16" ht="19" customHeight="1">
      <c r="A16" s="9" t="n"/>
    </row>
    <row r="17" ht="19" customHeight="1">
      <c r="A17" s="9" t="n"/>
    </row>
    <row r="18" ht="19" customHeight="1">
      <c r="A18" s="9"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U88"/>
  <sheetViews>
    <sheetView zoomScale="115" workbookViewId="0">
      <pane ySplit="1" topLeftCell="A2" activePane="bottomLeft" state="frozen"/>
      <selection pane="bottomLeft" activeCell="D67" sqref="D67"/>
    </sheetView>
  </sheetViews>
  <sheetFormatPr baseColWidth="10" defaultRowHeight="16"/>
  <cols>
    <col width="12.83203125" customWidth="1" style="12" min="1" max="1"/>
    <col width="15.33203125" customWidth="1" style="2" min="2" max="2"/>
    <col width="19.83203125" customWidth="1" style="20" min="3" max="3"/>
    <col width="27.83203125" customWidth="1" min="4" max="4"/>
    <col width="23.1640625" customWidth="1" style="8" min="5" max="5"/>
    <col width="23.1640625" customWidth="1" style="13" min="6" max="7"/>
    <col width="23.1640625" customWidth="1" style="8" min="8" max="10"/>
    <col width="14.5" customWidth="1" min="11" max="11"/>
    <col width="19.6640625" customWidth="1" style="8" min="12" max="12"/>
    <col width="11.33203125" customWidth="1" min="13" max="13"/>
    <col width="21.83203125" customWidth="1" style="8" min="14" max="14"/>
    <col width="21.83203125" customWidth="1" min="15" max="15"/>
    <col width="45.1640625" customWidth="1" min="16" max="16"/>
    <col width="33" customWidth="1" style="8" min="17" max="17"/>
    <col width="22.5" customWidth="1" style="17" min="18" max="18"/>
    <col width="27.5" customWidth="1" style="8" min="19" max="19"/>
    <col width="20" customWidth="1" min="20" max="21"/>
    <col width="17.6640625" customWidth="1" min="22" max="22"/>
  </cols>
  <sheetData>
    <row r="1" ht="119" customHeight="1">
      <c r="A1" s="12" t="inlineStr">
        <is>
          <t>Maturity Year</t>
        </is>
      </c>
      <c r="B1" s="2" t="inlineStr">
        <is>
          <t>Maturity Date</t>
        </is>
      </c>
      <c r="C1" s="20" t="inlineStr">
        <is>
          <t>Coupon Rate</t>
        </is>
      </c>
      <c r="D1" s="3" t="inlineStr">
        <is>
          <t xml:space="preserve">Number of TIPS Already Owned in Regular Taxable Brokerage Accounts </t>
        </is>
      </c>
      <c r="E1" s="19" t="inlineStr">
        <is>
          <t xml:space="preserve">Uninflated Original Principal of TIPS Already Owned in Regular Taxable Brokerage Accounts </t>
        </is>
      </c>
      <c r="F1" s="23" t="inlineStr">
        <is>
          <t>Number of TIPS Already Owned in Pretax Retirement Accounts</t>
        </is>
      </c>
      <c r="G1" s="23" t="inlineStr">
        <is>
          <t>Uninflated Original Principal of TIPS Already Owned in Pretax Retirement Accounts</t>
        </is>
      </c>
      <c r="H1" s="19" t="inlineStr">
        <is>
          <t>Uninflated Original Principal of TIPS Already Owned in Pretax Retirement Accounts (Adjusted for Taxes)</t>
        </is>
      </c>
      <c r="I1" s="19" t="inlineStr">
        <is>
          <t>Number of TIPS Already Owned in Roth Accounts</t>
        </is>
      </c>
      <c r="J1" s="19" t="inlineStr">
        <is>
          <t>Uninflated Original Principal of TIPS Already Owned in Roth Accounts</t>
        </is>
      </c>
      <c r="K1" s="3" t="inlineStr">
        <is>
          <t>Inflation Factor/Index Ratio</t>
        </is>
      </c>
      <c r="L1" s="19" t="inlineStr">
        <is>
          <t>Inflated Principal of TIPS Already Owned (Tax-Adjusted for TIPS Already Owned in Pretax Retirement Accounts)</t>
        </is>
      </c>
      <c r="N1" s="19" t="inlineStr">
        <is>
          <t xml:space="preserve">Current Dollar Annual Coupon Payments, Adjusted (except with respect to TIPS Held in a Roth Account) for Taxes </t>
        </is>
      </c>
      <c r="O1" s="3" t="n"/>
      <c r="P1" t="inlineStr">
        <is>
          <t>Ladder Year</t>
        </is>
      </c>
      <c r="Q1" s="19" t="inlineStr">
        <is>
          <t>Inflated Principal of TIPS Already Owned (Tax-Adjusted for TIPS Owned in Pretax Retirement Accounts) Per Ladder Year</t>
        </is>
      </c>
      <c r="R1" s="18" t="inlineStr">
        <is>
          <t xml:space="preserve">After-Tax Desired "Real" Income Per Ladder Year </t>
        </is>
      </c>
      <c r="S1" s="19" t="inlineStr">
        <is>
          <t>After-Tax"Real" Income Surplus/Shortfall Per Ladder Year (Takes into account the applicable year's maturing principal plus interest received that year on current and future maturing TIPS)</t>
        </is>
      </c>
    </row>
    <row r="2" ht="187" customHeight="1">
      <c r="A2" s="14" t="n"/>
      <c r="B2" s="2" t="inlineStr">
        <is>
          <t>[Download]</t>
        </is>
      </c>
      <c r="C2" s="21" t="inlineStr">
        <is>
          <t>[Download]</t>
        </is>
      </c>
      <c r="D2" s="16" t="n"/>
      <c r="K2" t="inlineStr">
        <is>
          <t>[Download]</t>
        </is>
      </c>
      <c r="L2" s="19" t="inlineStr">
        <is>
          <t>[Note:  Taxes on the inflation adjustment to the principal of TIPS held in Regular Taxable Brokerage Accounts are not taken into account, as it is not possible to anticipate what the inflation adjustments will be.]</t>
        </is>
      </c>
      <c r="P2" s="3" t="n"/>
      <c r="Q2" s="19" t="n"/>
      <c r="R2" s="18" t="n"/>
      <c r="S2" s="19" t="inlineStr">
        <is>
          <t xml:space="preserve"> [For a later draft, consider reducing this number for partial year interest in the first and last year of a bond.]</t>
        </is>
      </c>
    </row>
    <row r="3">
      <c r="O3" s="13" t="n"/>
      <c r="P3" s="13">
        <f>IF(AND(Ladder!A3&gt;='User Input'!B$2, Ladder!A3&lt;='User Input'!C$2),Ladder!A3,"")</f>
        <v/>
      </c>
      <c r="R3" s="17">
        <f>IF(P3="","",'User Input'!B$3)</f>
        <v/>
      </c>
    </row>
    <row r="4">
      <c r="A4" s="13">
        <f>IF(OR(TEXT(B3,"YYYY")&lt;TEXT(B4,"YYYY"),ISBLANK(TEXT(B3,"YYYY"))),YEAR(B4),"")</f>
        <v/>
      </c>
      <c r="B4" s="2">
        <f>DownloadedData!$C2</f>
        <v/>
      </c>
      <c r="C4" s="20">
        <f>DownloadedData!$B2/100</f>
        <v/>
      </c>
      <c r="D4">
        <f t="array" ref="D4"> IFERROR(INDEX('User Input'!$B$9:$AAD$9, ,_xlfn.XMATCH(B4&amp;C4, 'User Input'!$B$7:$AAD$7&amp;'User Input'!$B$8:$AAD$8)),"")</f>
        <v/>
      </c>
      <c r="E4" s="8">
        <f>IF(D4="","",D4*1000)</f>
        <v/>
      </c>
      <c r="F4" s="13">
        <f t="array" ref="F4">IFERROR(INDEX('User Input'!$B$10:$AAD$10, ,_xlfn.XMATCH(B4&amp;C4, 'User Input'!$B$7:$AAD$7&amp;'User Input'!$B$8:$AAD$8)),"")</f>
        <v/>
      </c>
      <c r="G4" s="8">
        <f>IF(F4="","",F4*1000)</f>
        <v/>
      </c>
      <c r="H4" s="8">
        <f>IF(F4="","",F4*1000*(100%-'User Input'!$B$12))</f>
        <v/>
      </c>
      <c r="I4" s="13">
        <f t="array" ref="I4">IFERROR(INDEX('User Input'!$B$11:$AAD$11, ,_xlfn.XMATCH(B4&amp;C4, 'User Input'!$B$7:$AAD$7&amp;'User Input'!$B$8:$AAD$8)),"")</f>
        <v/>
      </c>
      <c r="J4" s="8">
        <f>IF(I4="","",I4*1000)</f>
        <v/>
      </c>
      <c r="K4">
        <f>DownloadedData!$H2</f>
        <v/>
      </c>
      <c r="L4" s="8">
        <f>IF(AND(E4="",H4="",J4=""),"",(E4+H4+J4)*K4)</f>
        <v/>
      </c>
      <c r="N4" s="8">
        <f>IF(L4="","",(C4*L4*(100%-'User Input'!$B$12))+(C4*J4*K4*'User Input'!$B$12))</f>
        <v/>
      </c>
      <c r="P4" s="13">
        <f>IF(AND(Ladder!A4&gt;='User Input'!B$2, Ladder!A4&lt;='User Input'!C$2),Ladder!A4,"")</f>
        <v/>
      </c>
      <c r="Q4" s="8">
        <f>IF(P4="","", SUMIFS($L$4:$L$89, $B$4:$B$89, "&gt;="&amp;DATE(P4,1,1),$B$4:$B$89,"&lt;"&amp;DATE(P4+1,1,1)))</f>
        <v/>
      </c>
      <c r="R4" s="17">
        <f t="array" ref="R4">IF(P4="","",IFERROR(INDEX('User Input'!$B$5:$DD$5,,_xlfn.XMATCH(P4,'User Input'!$B$4:$DD$4)),'User Input'!$B$3))</f>
        <v/>
      </c>
      <c r="S4" s="8">
        <f>IF(R4="","",(Q4+SUM(N4:N89)-R4))</f>
        <v/>
      </c>
    </row>
    <row r="5">
      <c r="A5" s="13">
        <f>IF(OR(TEXT(B4,"YYYY")&lt;TEXT(B5,"YYYY"),ISBLANK(TEXT(B4,"YYYY"))),YEAR(B5),"")</f>
        <v/>
      </c>
      <c r="B5" s="2">
        <f>DownloadedData!$C3</f>
        <v/>
      </c>
      <c r="C5" s="20">
        <f>DownloadedData!$B3/100</f>
        <v/>
      </c>
      <c r="D5">
        <f t="array" ref="D5"> IFERROR(INDEX('User Input'!$B$9:$AAD$9, ,_xlfn.XMATCH(B5&amp;C5, 'User Input'!$B$7:$AAD$7&amp;'User Input'!$B$8:$AAD$8)),"")</f>
        <v/>
      </c>
      <c r="E5" s="8">
        <f>IF(D5="","",D5*1000)</f>
        <v/>
      </c>
      <c r="F5" s="13">
        <f t="array" ref="F5">IFERROR(INDEX('User Input'!$B$10:$AAD$10, ,_xlfn.XMATCH(B5&amp;C5, 'User Input'!$B$7:$AAD$7&amp;'User Input'!$B$8:$AAD$8)),"")</f>
        <v/>
      </c>
      <c r="G5" s="8">
        <f>IF(F5="","",F5*1000)</f>
        <v/>
      </c>
      <c r="H5" s="8">
        <f>IF(F5="","",F5*1000*(100%-'User Input'!$B$12))</f>
        <v/>
      </c>
      <c r="I5" s="13">
        <f t="array" ref="I5">IFERROR(INDEX('User Input'!$B$11:$AAD$11, ,_xlfn.XMATCH(B5&amp;C5, 'User Input'!$B$7:$AAD$7&amp;'User Input'!$B$8:$AAD$8)),"")</f>
        <v/>
      </c>
      <c r="J5" s="8">
        <f>IF(I5="","",I5*1000)</f>
        <v/>
      </c>
      <c r="K5">
        <f>DownloadedData!$H3</f>
        <v/>
      </c>
      <c r="L5" s="8">
        <f>IF(AND(E5="",H5="",J5=""),"",(E5+H5+J5)*K5)</f>
        <v/>
      </c>
      <c r="N5" s="8">
        <f>IF(L5="","",(C5*L5*(100%-'User Input'!$B$12))+(C5*J5*K5*'User Input'!$B$12))</f>
        <v/>
      </c>
      <c r="P5" s="13">
        <f>IF(AND(Ladder!A5&gt;='User Input'!B$2, Ladder!A5&lt;='User Input'!C$2),Ladder!A5,"")</f>
        <v/>
      </c>
      <c r="Q5" s="8">
        <f>IF(P5="","", SUMIFS($L$4:$L$89, $B$4:$B$89, "&gt;="&amp;DATE(P5,1,1),$B$4:$B$89,"&lt;"&amp;DATE(P5+1,1,1)))</f>
        <v/>
      </c>
      <c r="R5" s="17">
        <f t="array" ref="R5">IF(P5="","",IFERROR(INDEX('User Input'!$B$5:$DD$5,,_xlfn.XMATCH(P5,'User Input'!$B$4:$DD$4)),'User Input'!$B$3))</f>
        <v/>
      </c>
      <c r="S5" s="8">
        <f>IF(R5="","",(Q5+SUM(N5:N90)-R5))</f>
        <v/>
      </c>
    </row>
    <row r="6">
      <c r="A6" s="13">
        <f>IF(OR(TEXT(B5,"YYYY")&lt;TEXT(B6,"YYYY"),ISBLANK(TEXT(B5,"YYYY"))),YEAR(B6),"")</f>
        <v/>
      </c>
      <c r="B6" s="2">
        <f>DownloadedData!$C4</f>
        <v/>
      </c>
      <c r="C6" s="20">
        <f>DownloadedData!$B4/100</f>
        <v/>
      </c>
      <c r="D6">
        <f t="array" ref="D6"> IFERROR(INDEX('User Input'!$B$9:$AAD$9, ,_xlfn.XMATCH(B6&amp;C6, 'User Input'!$B$7:$AAD$7&amp;'User Input'!$B$8:$AAD$8)),"")</f>
        <v/>
      </c>
      <c r="E6" s="8">
        <f>IF(D6="","",D6*1000)</f>
        <v/>
      </c>
      <c r="F6" s="13">
        <f t="array" ref="F6">IFERROR(INDEX('User Input'!$B$10:$AAD$10, ,_xlfn.XMATCH(B6&amp;C6, 'User Input'!$B$7:$AAD$7&amp;'User Input'!$B$8:$AAD$8)),"")</f>
        <v/>
      </c>
      <c r="G6" s="8">
        <f>IF(F6="","",F6*1000)</f>
        <v/>
      </c>
      <c r="H6" s="8">
        <f>IF(F6="","",F6*1000*(100%-'User Input'!$B$12))</f>
        <v/>
      </c>
      <c r="I6" s="13">
        <f t="array" ref="I6">IFERROR(INDEX('User Input'!$B$11:$AAD$11, ,_xlfn.XMATCH(B6&amp;C6, 'User Input'!$B$7:$AAD$7&amp;'User Input'!$B$8:$AAD$8)),"")</f>
        <v/>
      </c>
      <c r="J6" s="8">
        <f>IF(I6="","",I6*1000)</f>
        <v/>
      </c>
      <c r="K6">
        <f>DownloadedData!$H4</f>
        <v/>
      </c>
      <c r="L6" s="8">
        <f>IF(AND(E6="",H6="",J6=""),"",(E6+H6+J6)*K6)</f>
        <v/>
      </c>
      <c r="N6" s="8">
        <f>IF(L6="","",(C6*L6*(100%-'User Input'!$B$12))+(C6*J6*K6*'User Input'!$B$12))</f>
        <v/>
      </c>
      <c r="P6" s="13">
        <f>IF(AND(Ladder!A6&gt;='User Input'!B$2, Ladder!A6&lt;='User Input'!C$2),Ladder!A6,"")</f>
        <v/>
      </c>
      <c r="Q6" s="8">
        <f>IF(P6="","", SUMIFS($L$4:$L$89, $B$4:$B$89, "&gt;="&amp;DATE(P6,1,1),$B$4:$B$89,"&lt;"&amp;DATE(P6+1,1,1)))</f>
        <v/>
      </c>
      <c r="R6" s="17">
        <f t="array" ref="R6">IF(P6="","",IFERROR(INDEX('User Input'!$B$5:$DD$5,,_xlfn.XMATCH(P6,'User Input'!$B$4:$DD$4)),'User Input'!$B$3))</f>
        <v/>
      </c>
      <c r="S6" s="8">
        <f>IF(R6="","",(Q6+SUM(N6:N91)-R6))</f>
        <v/>
      </c>
    </row>
    <row r="7">
      <c r="A7" s="13">
        <f>IF(OR(TEXT(B6,"YYYY")&lt;TEXT(B7,"YYYY"),ISBLANK(TEXT(B6,"YYYY"))),YEAR(B7),"")</f>
        <v/>
      </c>
      <c r="B7" s="2">
        <f>DownloadedData!$C5</f>
        <v/>
      </c>
      <c r="C7" s="20">
        <f>DownloadedData!$B5/100</f>
        <v/>
      </c>
      <c r="D7">
        <f t="array" ref="D7"> IFERROR(INDEX('User Input'!$B$9:$AAD$9, ,_xlfn.XMATCH(B7&amp;C7, 'User Input'!$B$7:$AAD$7&amp;'User Input'!$B$8:$AAD$8)),"")</f>
        <v/>
      </c>
      <c r="E7" s="8">
        <f>IF(D7="","",D7*1000)</f>
        <v/>
      </c>
      <c r="F7" s="13">
        <f t="array" ref="F7">IFERROR(INDEX('User Input'!$B$10:$AAD$10, ,_xlfn.XMATCH(B7&amp;C7, 'User Input'!$B$7:$AAD$7&amp;'User Input'!$B$8:$AAD$8)),"")</f>
        <v/>
      </c>
      <c r="G7" s="8">
        <f>IF(F7="","",F7*1000)</f>
        <v/>
      </c>
      <c r="H7" s="8">
        <f>IF(F7="","",F7*1000*(100%-'User Input'!$B$12))</f>
        <v/>
      </c>
      <c r="I7" s="13">
        <f t="array" ref="I7">IFERROR(INDEX('User Input'!$B$11:$AAD$11, ,_xlfn.XMATCH(B7&amp;C7, 'User Input'!$B$7:$AAD$7&amp;'User Input'!$B$8:$AAD$8)),"")</f>
        <v/>
      </c>
      <c r="J7" s="8">
        <f>IF(I7="","",I7*1000)</f>
        <v/>
      </c>
      <c r="K7">
        <f>DownloadedData!$H5</f>
        <v/>
      </c>
      <c r="L7" s="8">
        <f>IF(AND(E7="",H7="",J7=""),"",(E7+H7+J7)*K7)</f>
        <v/>
      </c>
      <c r="N7" s="8">
        <f>IF(L7="","",(C7*L7*(100%-'User Input'!$B$12))+(C7*J7*K7*'User Input'!$B$12))</f>
        <v/>
      </c>
      <c r="P7" s="13">
        <f>IF(AND(Ladder!A7&gt;='User Input'!B$2, Ladder!A7&lt;='User Input'!C$2),Ladder!A7,"")</f>
        <v/>
      </c>
      <c r="Q7" s="8">
        <f>IF(P7="","", SUMIFS($L$4:$L$89, $B$4:$B$89, "&gt;="&amp;DATE(P7,1,1),$B$4:$B$89,"&lt;"&amp;DATE(P7+1,1,1)))</f>
        <v/>
      </c>
      <c r="R7" s="17">
        <f t="array" ref="R7">IF(P7="","",IFERROR(INDEX('User Input'!$B$5:$DD$5,,_xlfn.XMATCH(P7,'User Input'!$B$4:$DD$4)),'User Input'!$B$3))</f>
        <v/>
      </c>
      <c r="S7" s="8">
        <f>IF(R7="","",(Q7+SUM(N7:N92)-R7))</f>
        <v/>
      </c>
    </row>
    <row r="8">
      <c r="A8" s="13">
        <f>IF(OR(TEXT(B7,"YYYY")&lt;TEXT(B8,"YYYY"),ISBLANK(TEXT(B7,"YYYY"))),YEAR(B8),"")</f>
        <v/>
      </c>
      <c r="B8" s="2">
        <f>DownloadedData!$C6</f>
        <v/>
      </c>
      <c r="C8" s="20">
        <f>DownloadedData!$B6/100</f>
        <v/>
      </c>
      <c r="D8">
        <f t="array" ref="D8"> IFERROR(INDEX('User Input'!$B$9:$AAD$9, ,_xlfn.XMATCH(B8&amp;C8, 'User Input'!$B$7:$AAD$7&amp;'User Input'!$B$8:$AAD$8)),"")</f>
        <v/>
      </c>
      <c r="E8" s="8">
        <f>IF(D8="","",D8*1000)</f>
        <v/>
      </c>
      <c r="F8" s="13">
        <f t="array" ref="F8">IFERROR(INDEX('User Input'!$B$10:$AAD$10, ,_xlfn.XMATCH(B8&amp;C8, 'User Input'!$B$7:$AAD$7&amp;'User Input'!$B$8:$AAD$8)),"")</f>
        <v/>
      </c>
      <c r="G8" s="8">
        <f>IF(F8="","",F8*1000)</f>
        <v/>
      </c>
      <c r="H8" s="8">
        <f>IF(F8="","",F8*1000*(100%-'User Input'!$B$12))</f>
        <v/>
      </c>
      <c r="I8" s="13">
        <f t="array" ref="I8">IFERROR(INDEX('User Input'!$B$11:$AAD$11, ,_xlfn.XMATCH(B8&amp;C8, 'User Input'!$B$7:$AAD$7&amp;'User Input'!$B$8:$AAD$8)),"")</f>
        <v/>
      </c>
      <c r="J8" s="8">
        <f>IF(I8="","",I8*1000)</f>
        <v/>
      </c>
      <c r="K8">
        <f>DownloadedData!$H6</f>
        <v/>
      </c>
      <c r="L8" s="8">
        <f>IF(AND(E8="",H8="",J8=""),"",(E8+H8+J8)*K8)</f>
        <v/>
      </c>
      <c r="N8" s="8">
        <f>IF(L8="","",(C8*L8*(100%-'User Input'!$B$12))+(C8*J8*K8*'User Input'!$B$12))</f>
        <v/>
      </c>
      <c r="P8" s="13">
        <f>IF(AND(Ladder!A8&gt;='User Input'!B$2, Ladder!A8&lt;='User Input'!C$2),Ladder!A8,"")</f>
        <v/>
      </c>
      <c r="Q8" s="8">
        <f>IF(P8="","", SUMIFS($L$4:$L$89, $B$4:$B$89, "&gt;="&amp;DATE(P8,1,1),$B$4:$B$89,"&lt;"&amp;DATE(P8+1,1,1)))</f>
        <v/>
      </c>
      <c r="R8" s="17">
        <f t="array" ref="R8">IF(P8="","",IFERROR(INDEX('User Input'!$B$5:$DD$5,,_xlfn.XMATCH(P8,'User Input'!$B$4:$DD$4)),'User Input'!$B$3))</f>
        <v/>
      </c>
      <c r="S8" s="8">
        <f>IF(R8="","",(Q8+SUM(N8:N93)-R8))</f>
        <v/>
      </c>
    </row>
    <row r="9">
      <c r="A9" s="13">
        <f>IF(OR(TEXT(B8,"YYYY")&lt;TEXT(B9,"YYYY"),ISBLANK(TEXT(B8,"YYYY"))),YEAR(B9),"")</f>
        <v/>
      </c>
      <c r="B9" s="2">
        <f>DownloadedData!$C7</f>
        <v/>
      </c>
      <c r="C9" s="20">
        <f>DownloadedData!$B7/100</f>
        <v/>
      </c>
      <c r="D9">
        <f t="array" ref="D9"> IFERROR(INDEX('User Input'!$B$9:$AAD$9, ,_xlfn.XMATCH(B9&amp;C9, 'User Input'!$B$7:$AAD$7&amp;'User Input'!$B$8:$AAD$8)),"")</f>
        <v/>
      </c>
      <c r="E9" s="8">
        <f>IF(D9="","",D9*1000)</f>
        <v/>
      </c>
      <c r="F9" s="13">
        <f t="array" ref="F9">IFERROR(INDEX('User Input'!$B$10:$AAD$10, ,_xlfn.XMATCH(B9&amp;C9, 'User Input'!$B$7:$AAD$7&amp;'User Input'!$B$8:$AAD$8)),"")</f>
        <v/>
      </c>
      <c r="G9" s="8">
        <f>IF(F9="","",F9*1000)</f>
        <v/>
      </c>
      <c r="H9" s="8">
        <f>IF(F9="","",F9*1000*(100%-'User Input'!$B$12))</f>
        <v/>
      </c>
      <c r="I9" s="13">
        <f t="array" ref="I9">IFERROR(INDEX('User Input'!$B$11:$AAD$11, ,_xlfn.XMATCH(B9&amp;C9, 'User Input'!$B$7:$AAD$7&amp;'User Input'!$B$8:$AAD$8)),"")</f>
        <v/>
      </c>
      <c r="J9" s="8">
        <f>IF(I9="","",I9*1000)</f>
        <v/>
      </c>
      <c r="K9">
        <f>DownloadedData!$H7</f>
        <v/>
      </c>
      <c r="L9" s="8">
        <f>IF(AND(E9="",H9="",J9=""),"",(E9+H9+J9)*K9)</f>
        <v/>
      </c>
      <c r="N9" s="8">
        <f>IF(L9="","",(C9*L9*(100%-'User Input'!$B$12))+(C9*J9*K9*'User Input'!$B$12))</f>
        <v/>
      </c>
      <c r="P9" s="13">
        <f>IF(AND(Ladder!A9&gt;='User Input'!B$2, Ladder!A9&lt;='User Input'!C$2),Ladder!A9,"")</f>
        <v/>
      </c>
      <c r="Q9" s="8">
        <f>IF(P9="","", SUMIFS($L$4:$L$89, $B$4:$B$89, "&gt;="&amp;DATE(P9,1,1),$B$4:$B$89,"&lt;"&amp;DATE(P9+1,1,1)))</f>
        <v/>
      </c>
      <c r="R9" s="17">
        <f t="array" ref="R9">IF(P9="","",IFERROR(INDEX('User Input'!$B$5:$DD$5,,_xlfn.XMATCH(P9,'User Input'!$B$4:$DD$4)),'User Input'!$B$3))</f>
        <v/>
      </c>
      <c r="S9" s="8">
        <f>IF(R9="","",(Q9+SUM(N9:N94)-R9))</f>
        <v/>
      </c>
    </row>
    <row r="10">
      <c r="A10" s="13">
        <f>IF(OR(TEXT(B9,"YYYY")&lt;TEXT(B10,"YYYY"),ISBLANK(TEXT(B9,"YYYY"))),YEAR(B10),"")</f>
        <v/>
      </c>
      <c r="B10" s="2">
        <f>DownloadedData!$C8</f>
        <v/>
      </c>
      <c r="C10" s="20">
        <f>DownloadedData!$B8/100</f>
        <v/>
      </c>
      <c r="D10">
        <f t="array" ref="D10"> IFERROR(INDEX('User Input'!$B$9:$AAD$9, ,_xlfn.XMATCH(B10&amp;C10, 'User Input'!$B$7:$AAD$7&amp;'User Input'!$B$8:$AAD$8)),"")</f>
        <v/>
      </c>
      <c r="E10" s="8">
        <f>IF(D10="","",D10*1000)</f>
        <v/>
      </c>
      <c r="F10" s="13">
        <f t="array" ref="F10">IFERROR(INDEX('User Input'!$B$10:$AAD$10, ,_xlfn.XMATCH(B10&amp;C10, 'User Input'!$B$7:$AAD$7&amp;'User Input'!$B$8:$AAD$8)),"")</f>
        <v/>
      </c>
      <c r="G10" s="8">
        <f>IF(F10="","",F10*1000)</f>
        <v/>
      </c>
      <c r="H10" s="8">
        <f>IF(F10="","",F10*1000*(100%-'User Input'!$B$12))</f>
        <v/>
      </c>
      <c r="I10" s="13">
        <f t="array" ref="I10">IFERROR(INDEX('User Input'!$B$11:$AAD$11, ,_xlfn.XMATCH(B10&amp;C10, 'User Input'!$B$7:$AAD$7&amp;'User Input'!$B$8:$AAD$8)),"")</f>
        <v/>
      </c>
      <c r="J10" s="8">
        <f>IF(I10="","",I10*1000)</f>
        <v/>
      </c>
      <c r="K10">
        <f>DownloadedData!$H8</f>
        <v/>
      </c>
      <c r="L10" s="8">
        <f>IF(AND(E10="",H10="",J10=""),"",(E10+H10+J10)*K10)</f>
        <v/>
      </c>
      <c r="N10" s="8">
        <f>IF(L10="","",(C10*L10*(100%-'User Input'!$B$12))+(C10*J10*K10*'User Input'!$B$12))</f>
        <v/>
      </c>
      <c r="P10" s="13">
        <f>IF(AND(Ladder!A10&gt;='User Input'!B$2, Ladder!A10&lt;='User Input'!C$2),Ladder!A10,"")</f>
        <v/>
      </c>
      <c r="Q10" s="8">
        <f>IF(P10="","", SUMIFS($L$4:$L$89, $B$4:$B$89, "&gt;="&amp;DATE(P10,1,1),$B$4:$B$89,"&lt;"&amp;DATE(P10+1,1,1)))</f>
        <v/>
      </c>
      <c r="R10" s="17">
        <f t="array" ref="R10">IF(P10="","",IFERROR(INDEX('User Input'!$B$5:$DD$5,,_xlfn.XMATCH(P10,'User Input'!$B$4:$DD$4)),'User Input'!$B$3))</f>
        <v/>
      </c>
      <c r="S10" s="8">
        <f>IF(R10="","",(Q10+SUM(N10:N95)-R10))</f>
        <v/>
      </c>
    </row>
    <row r="11">
      <c r="A11" s="13">
        <f>IF(OR(TEXT(B10,"YYYY")&lt;TEXT(B11,"YYYY"),ISBLANK(TEXT(B10,"YYYY"))),YEAR(B11),"")</f>
        <v/>
      </c>
      <c r="B11" s="2">
        <f>DownloadedData!$C9</f>
        <v/>
      </c>
      <c r="C11" s="20">
        <f>DownloadedData!$B9/100</f>
        <v/>
      </c>
      <c r="D11">
        <f t="array" ref="D11"> IFERROR(INDEX('User Input'!$B$9:$AAD$9, ,_xlfn.XMATCH(B11&amp;C11, 'User Input'!$B$7:$AAD$7&amp;'User Input'!$B$8:$AAD$8)),"")</f>
        <v/>
      </c>
      <c r="E11" s="8">
        <f>IF(D11="","",D11*1000)</f>
        <v/>
      </c>
      <c r="F11" s="13">
        <f t="array" ref="F11">IFERROR(INDEX('User Input'!$B$10:$AAD$10, ,_xlfn.XMATCH(B11&amp;C11, 'User Input'!$B$7:$AAD$7&amp;'User Input'!$B$8:$AAD$8)),"")</f>
        <v/>
      </c>
      <c r="G11" s="8">
        <f>IF(F11="","",F11*1000)</f>
        <v/>
      </c>
      <c r="H11" s="8">
        <f>IF(F11="","",F11*1000*(100%-'User Input'!$B$12))</f>
        <v/>
      </c>
      <c r="I11" s="13">
        <f t="array" ref="I11">IFERROR(INDEX('User Input'!$B$11:$AAD$11, ,_xlfn.XMATCH(B11&amp;C11, 'User Input'!$B$7:$AAD$7&amp;'User Input'!$B$8:$AAD$8)),"")</f>
        <v/>
      </c>
      <c r="J11" s="8">
        <f>IF(I11="","",I11*1000)</f>
        <v/>
      </c>
      <c r="K11">
        <f>DownloadedData!$H9</f>
        <v/>
      </c>
      <c r="L11" s="8">
        <f>IF(AND(E11="",H11="",J11=""),"",(E11+H11+J11)*K11)</f>
        <v/>
      </c>
      <c r="N11" s="8">
        <f>IF(L11="","",(C11*L11*(100%-'User Input'!$B$12))+(C11*J11*K11*'User Input'!$B$12))</f>
        <v/>
      </c>
      <c r="P11" s="13">
        <f>IF(AND(Ladder!A11&gt;='User Input'!B$2, Ladder!A11&lt;='User Input'!C$2),Ladder!A11,"")</f>
        <v/>
      </c>
      <c r="Q11" s="8">
        <f>IF(P11="","", SUMIFS($L$4:$L$89, $B$4:$B$89, "&gt;="&amp;DATE(P11,1,1),$B$4:$B$89,"&lt;"&amp;DATE(P11+1,1,1)))</f>
        <v/>
      </c>
      <c r="R11" s="17">
        <f t="array" ref="R11">IF(P11="","",IFERROR(INDEX('User Input'!$B$5:$DD$5,,_xlfn.XMATCH(P11,'User Input'!$B$4:$DD$4)),'User Input'!$B$3))</f>
        <v/>
      </c>
      <c r="S11" s="8">
        <f>IF(R11="","",(Q11+SUM(N11:N96)-R11))</f>
        <v/>
      </c>
    </row>
    <row r="12">
      <c r="A12" s="13">
        <f>IF(OR(TEXT(B11,"YYYY")&lt;TEXT(B12,"YYYY"),ISBLANK(TEXT(B11,"YYYY"))),YEAR(B12),"")</f>
        <v/>
      </c>
      <c r="B12" s="2">
        <f>DownloadedData!$C10</f>
        <v/>
      </c>
      <c r="C12" s="20">
        <f>DownloadedData!$B10/100</f>
        <v/>
      </c>
      <c r="D12">
        <f t="array" ref="D12"> IFERROR(INDEX('User Input'!$B$9:$AAD$9, ,_xlfn.XMATCH(B12&amp;C12, 'User Input'!$B$7:$AAD$7&amp;'User Input'!$B$8:$AAD$8)),"")</f>
        <v/>
      </c>
      <c r="E12" s="8">
        <f>IF(D12="","",D12*1000)</f>
        <v/>
      </c>
      <c r="F12" s="13">
        <f t="array" ref="F12">IFERROR(INDEX('User Input'!$B$10:$AAD$10, ,_xlfn.XMATCH(B12&amp;C12, 'User Input'!$B$7:$AAD$7&amp;'User Input'!$B$8:$AAD$8)),"")</f>
        <v/>
      </c>
      <c r="G12" s="8">
        <f>IF(F12="","",F12*1000)</f>
        <v/>
      </c>
      <c r="H12" s="8">
        <f>IF(F12="","",F12*1000*(100%-'User Input'!$B$12))</f>
        <v/>
      </c>
      <c r="I12" s="13">
        <f t="array" ref="I12">IFERROR(INDEX('User Input'!$B$11:$AAD$11, ,_xlfn.XMATCH(B12&amp;C12, 'User Input'!$B$7:$AAD$7&amp;'User Input'!$B$8:$AAD$8)),"")</f>
        <v/>
      </c>
      <c r="J12" s="8">
        <f>IF(I12="","",I12*1000)</f>
        <v/>
      </c>
      <c r="K12">
        <f>DownloadedData!$H10</f>
        <v/>
      </c>
      <c r="L12" s="8">
        <f>IF(AND(E12="",H12="",J12=""),"",(E12+H12+J12)*K12)</f>
        <v/>
      </c>
      <c r="N12" s="8">
        <f>IF(L12="","",(C12*L12*(100%-'User Input'!$B$12))+(C12*J12*K12*'User Input'!$B$12))</f>
        <v/>
      </c>
      <c r="P12" s="13">
        <f>IF(AND(Ladder!A12&gt;='User Input'!B$2, Ladder!A12&lt;='User Input'!C$2),Ladder!A12,"")</f>
        <v/>
      </c>
      <c r="Q12" s="8">
        <f>IF(P12="","", SUMIFS($L$4:$L$89, $B$4:$B$89, "&gt;="&amp;DATE(P12,1,1),$B$4:$B$89,"&lt;"&amp;DATE(P12+1,1,1)))</f>
        <v/>
      </c>
      <c r="R12" s="17">
        <f t="array" ref="R12">IF(P12="","",IFERROR(INDEX('User Input'!$B$5:$DD$5,,_xlfn.XMATCH(P12,'User Input'!$B$4:$DD$4)),'User Input'!$B$3))</f>
        <v/>
      </c>
      <c r="S12" s="8">
        <f>IF(R12="","",(Q12+SUM(N12:N97)-R12))</f>
        <v/>
      </c>
    </row>
    <row r="13">
      <c r="A13" s="13">
        <f>IF(OR(TEXT(B12,"YYYY")&lt;TEXT(B13,"YYYY"),ISBLANK(TEXT(B12,"YYYY"))),YEAR(B13),"")</f>
        <v/>
      </c>
      <c r="B13" s="2">
        <f>DownloadedData!$C11</f>
        <v/>
      </c>
      <c r="C13" s="20">
        <f>DownloadedData!$B11/100</f>
        <v/>
      </c>
      <c r="D13">
        <f t="array" ref="D13"> IFERROR(INDEX('User Input'!$B$9:$AAD$9, ,_xlfn.XMATCH(B13&amp;C13, 'User Input'!$B$7:$AAD$7&amp;'User Input'!$B$8:$AAD$8)),"")</f>
        <v/>
      </c>
      <c r="E13" s="8">
        <f>IF(D13="","",D13*1000)</f>
        <v/>
      </c>
      <c r="F13" s="13">
        <f t="array" ref="F13">IFERROR(INDEX('User Input'!$B$10:$AAD$10, ,_xlfn.XMATCH(B13&amp;C13, 'User Input'!$B$7:$AAD$7&amp;'User Input'!$B$8:$AAD$8)),"")</f>
        <v/>
      </c>
      <c r="G13" s="8">
        <f>IF(F13="","",F13*1000)</f>
        <v/>
      </c>
      <c r="H13" s="8">
        <f>IF(F13="","",F13*1000*(100%-'User Input'!$B$12))</f>
        <v/>
      </c>
      <c r="I13" s="13">
        <f t="array" ref="I13">IFERROR(INDEX('User Input'!$B$11:$AAD$11, ,_xlfn.XMATCH(B13&amp;C13, 'User Input'!$B$7:$AAD$7&amp;'User Input'!$B$8:$AAD$8)),"")</f>
        <v/>
      </c>
      <c r="J13" s="8">
        <f>IF(I13="","",I13*1000)</f>
        <v/>
      </c>
      <c r="K13">
        <f>DownloadedData!$H11</f>
        <v/>
      </c>
      <c r="L13" s="8">
        <f>IF(AND(E13="",H13="",J13=""),"",(E13+H13+J13)*K13)</f>
        <v/>
      </c>
      <c r="N13" s="8">
        <f>IF(L13="","",(C13*L13*(100%-'User Input'!$B$12))+(C13*J13*K13*'User Input'!$B$12))</f>
        <v/>
      </c>
      <c r="P13" s="13">
        <f>IF(AND(Ladder!A13&gt;='User Input'!B$2, Ladder!A13&lt;='User Input'!C$2),Ladder!A13,"")</f>
        <v/>
      </c>
      <c r="Q13" s="8">
        <f>IF(P13="","", SUMIFS($L$4:$L$89, $B$4:$B$89, "&gt;="&amp;DATE(P13,1,1),$B$4:$B$89,"&lt;"&amp;DATE(P13+1,1,1)))</f>
        <v/>
      </c>
      <c r="R13" s="17">
        <f t="array" ref="R13">IF(P13="","",IFERROR(INDEX('User Input'!$B$5:$DD$5,,_xlfn.XMATCH(P13,'User Input'!$B$4:$DD$4)),'User Input'!$B$3))</f>
        <v/>
      </c>
      <c r="S13" s="8">
        <f>IF(R13="","",(Q13+SUM(N13:N98)-R13))</f>
        <v/>
      </c>
    </row>
    <row r="14">
      <c r="A14" s="13">
        <f>IF(OR(TEXT(B13,"YYYY")&lt;TEXT(B14,"YYYY"),ISBLANK(TEXT(B13,"YYYY"))),YEAR(B14),"")</f>
        <v/>
      </c>
      <c r="B14" s="2">
        <f>DownloadedData!$C12</f>
        <v/>
      </c>
      <c r="C14" s="20">
        <f>DownloadedData!$B12/100</f>
        <v/>
      </c>
      <c r="D14">
        <f t="array" ref="D14"> IFERROR(INDEX('User Input'!$B$9:$AAD$9, ,_xlfn.XMATCH(B14&amp;C14, 'User Input'!$B$7:$AAD$7&amp;'User Input'!$B$8:$AAD$8)),"")</f>
        <v/>
      </c>
      <c r="E14" s="8">
        <f>IF(D14="","",D14*1000)</f>
        <v/>
      </c>
      <c r="F14" s="13">
        <f t="array" ref="F14">IFERROR(INDEX('User Input'!$B$10:$AAD$10, ,_xlfn.XMATCH(B14&amp;C14, 'User Input'!$B$7:$AAD$7&amp;'User Input'!$B$8:$AAD$8)),"")</f>
        <v/>
      </c>
      <c r="G14" s="8">
        <f>IF(F14="","",F14*1000)</f>
        <v/>
      </c>
      <c r="H14" s="8">
        <f>IF(F14="","",F14*1000*(100%-'User Input'!$B$12))</f>
        <v/>
      </c>
      <c r="I14" s="13">
        <f t="array" ref="I14">IFERROR(INDEX('User Input'!$B$11:$AAD$11, ,_xlfn.XMATCH(B14&amp;C14, 'User Input'!$B$7:$AAD$7&amp;'User Input'!$B$8:$AAD$8)),"")</f>
        <v/>
      </c>
      <c r="J14" s="8">
        <f>IF(I14="","",I14*1000)</f>
        <v/>
      </c>
      <c r="K14">
        <f>DownloadedData!$H12</f>
        <v/>
      </c>
      <c r="L14" s="8">
        <f>IF(AND(E14="",H14="",J14=""),"",(E14+H14+J14)*K14)</f>
        <v/>
      </c>
      <c r="N14" s="8">
        <f>IF(L14="","",(C14*L14*(100%-'User Input'!$B$12))+(C14*J14*K14*'User Input'!$B$12))</f>
        <v/>
      </c>
      <c r="P14" s="13">
        <f>IF(AND(Ladder!A14&gt;='User Input'!B$2, Ladder!A14&lt;='User Input'!C$2),Ladder!A14,"")</f>
        <v/>
      </c>
      <c r="Q14" s="8">
        <f>IF(P14="","", SUMIFS($L$4:$L$89, $B$4:$B$89, "&gt;="&amp;DATE(P14,1,1),$B$4:$B$89,"&lt;"&amp;DATE(P14+1,1,1)))</f>
        <v/>
      </c>
      <c r="R14" s="17">
        <f t="array" ref="R14">IF(P14="","",IFERROR(INDEX('User Input'!$B$5:$DD$5,,_xlfn.XMATCH(P14,'User Input'!$B$4:$DD$4)),'User Input'!$B$3))</f>
        <v/>
      </c>
      <c r="S14" s="8">
        <f>IF(R14="","",(Q14+SUM(N14:N99)-R14))</f>
        <v/>
      </c>
    </row>
    <row r="15">
      <c r="A15" s="13">
        <f>IF(OR(TEXT(B14,"YYYY")&lt;TEXT(B15,"YYYY"),ISBLANK(TEXT(B14,"YYYY"))),YEAR(B15),"")</f>
        <v/>
      </c>
      <c r="B15" s="2">
        <f>DownloadedData!$C13</f>
        <v/>
      </c>
      <c r="C15" s="20">
        <f>DownloadedData!$B13/100</f>
        <v/>
      </c>
      <c r="D15">
        <f t="array" ref="D15"> IFERROR(INDEX('User Input'!$B$9:$AAD$9, ,_xlfn.XMATCH(B15&amp;C15, 'User Input'!$B$7:$AAD$7&amp;'User Input'!$B$8:$AAD$8)),"")</f>
        <v/>
      </c>
      <c r="E15" s="8">
        <f>IF(D15="","",D15*1000)</f>
        <v/>
      </c>
      <c r="F15" s="13">
        <f t="array" ref="F15">IFERROR(INDEX('User Input'!$B$10:$AAD$10, ,_xlfn.XMATCH(B15&amp;C15, 'User Input'!$B$7:$AAD$7&amp;'User Input'!$B$8:$AAD$8)),"")</f>
        <v/>
      </c>
      <c r="G15" s="8">
        <f>IF(F15="","",F15*1000)</f>
        <v/>
      </c>
      <c r="H15" s="8">
        <f>IF(F15="","",F15*1000*(100%-'User Input'!$B$12))</f>
        <v/>
      </c>
      <c r="I15" s="13">
        <f t="array" ref="I15">IFERROR(INDEX('User Input'!$B$11:$AAD$11, ,_xlfn.XMATCH(B15&amp;C15, 'User Input'!$B$7:$AAD$7&amp;'User Input'!$B$8:$AAD$8)),"")</f>
        <v/>
      </c>
      <c r="J15" s="8">
        <f>IF(I15="","",I15*1000)</f>
        <v/>
      </c>
      <c r="K15">
        <f>DownloadedData!$H13</f>
        <v/>
      </c>
      <c r="L15" s="8">
        <f>IF(AND(E15="",H15="",J15=""),"",(E15+H15+J15)*K15)</f>
        <v/>
      </c>
      <c r="N15" s="8">
        <f>IF(L15="","",(C15*L15*(100%-'User Input'!$B$12))+(C15*J15*K15*'User Input'!$B$12))</f>
        <v/>
      </c>
      <c r="P15" s="13">
        <f>IF(AND(Ladder!A15&gt;='User Input'!B$2, Ladder!A15&lt;='User Input'!C$2),Ladder!A15,"")</f>
        <v/>
      </c>
      <c r="Q15" s="8">
        <f>IF(P15="","", SUMIFS($L$4:$L$89, $B$4:$B$89, "&gt;="&amp;DATE(P15,1,1),$B$4:$B$89,"&lt;"&amp;DATE(P15+1,1,1)))</f>
        <v/>
      </c>
      <c r="R15" s="17">
        <f t="array" ref="R15">IF(P15="","",IFERROR(INDEX('User Input'!$B$5:$DD$5,,_xlfn.XMATCH(P15,'User Input'!$B$4:$DD$4)),'User Input'!$B$3))</f>
        <v/>
      </c>
      <c r="S15" s="8">
        <f>IF(R15="","",(Q15+SUM(N15:N100)-R15))</f>
        <v/>
      </c>
    </row>
    <row r="16">
      <c r="A16" s="13">
        <f>IF(OR(TEXT(B15,"YYYY")&lt;TEXT(B16,"YYYY"),ISBLANK(TEXT(B15,"YYYY"))),YEAR(B16),"")</f>
        <v/>
      </c>
      <c r="B16" s="2">
        <f>DownloadedData!$C14</f>
        <v/>
      </c>
      <c r="C16" s="20">
        <f>DownloadedData!$B14/100</f>
        <v/>
      </c>
      <c r="D16">
        <f t="array" ref="D16"> IFERROR(INDEX('User Input'!$B$9:$AAD$9, ,_xlfn.XMATCH(B16&amp;C16, 'User Input'!$B$7:$AAD$7&amp;'User Input'!$B$8:$AAD$8)),"")</f>
        <v/>
      </c>
      <c r="E16" s="8">
        <f>IF(D16="","",D16*1000)</f>
        <v/>
      </c>
      <c r="F16" s="13">
        <f t="array" ref="F16">IFERROR(INDEX('User Input'!$B$10:$AAD$10, ,_xlfn.XMATCH(B16&amp;C16, 'User Input'!$B$7:$AAD$7&amp;'User Input'!$B$8:$AAD$8)),"")</f>
        <v/>
      </c>
      <c r="G16" s="8">
        <f>IF(F16="","",F16*1000)</f>
        <v/>
      </c>
      <c r="H16" s="8">
        <f>IF(F16="","",F16*1000*(100%-'User Input'!$B$12))</f>
        <v/>
      </c>
      <c r="I16" s="13">
        <f t="array" ref="I16">IFERROR(INDEX('User Input'!$B$11:$AAD$11, ,_xlfn.XMATCH(B16&amp;C16, 'User Input'!$B$7:$AAD$7&amp;'User Input'!$B$8:$AAD$8)),"")</f>
        <v/>
      </c>
      <c r="J16" s="8">
        <f>IF(I16="","",I16*1000)</f>
        <v/>
      </c>
      <c r="K16">
        <f>DownloadedData!$H14</f>
        <v/>
      </c>
      <c r="L16" s="8">
        <f>IF(AND(E16="",H16="",J16=""),"",(E16+H16+J16)*K16)</f>
        <v/>
      </c>
      <c r="N16" s="8">
        <f>IF(L16="","",(C16*L16*(100%-'User Input'!$B$12))+(C16*J16*K16*'User Input'!$B$12))</f>
        <v/>
      </c>
      <c r="P16" s="13">
        <f>IF(AND(Ladder!A16&gt;='User Input'!B$2, Ladder!A16&lt;='User Input'!C$2),Ladder!A16,"")</f>
        <v/>
      </c>
      <c r="Q16" s="8">
        <f>IF(P16="","", SUMIFS($L$4:$L$89, $B$4:$B$89, "&gt;="&amp;DATE(P16,1,1),$B$4:$B$89,"&lt;"&amp;DATE(P16+1,1,1)))</f>
        <v/>
      </c>
      <c r="R16" s="17">
        <f t="array" ref="R16">IF(P16="","",IFERROR(INDEX('User Input'!$B$5:$DD$5,,_xlfn.XMATCH(P16,'User Input'!$B$4:$DD$4)),'User Input'!$B$3))</f>
        <v/>
      </c>
      <c r="S16" s="8">
        <f>IF(R16="","",(Q16+SUM(N16:N101)-R16))</f>
        <v/>
      </c>
    </row>
    <row r="17">
      <c r="A17" s="13">
        <f>IF(OR(TEXT(B16,"YYYY")&lt;TEXT(B17,"YYYY"),ISBLANK(TEXT(B16,"YYYY"))),YEAR(B17),"")</f>
        <v/>
      </c>
      <c r="B17" s="2">
        <f>DownloadedData!$C15</f>
        <v/>
      </c>
      <c r="C17" s="20">
        <f>DownloadedData!$B15/100</f>
        <v/>
      </c>
      <c r="D17">
        <f t="array" ref="D17"> IFERROR(INDEX('User Input'!$B$9:$AAD$9, ,_xlfn.XMATCH(B17&amp;C17, 'User Input'!$B$7:$AAD$7&amp;'User Input'!$B$8:$AAD$8)),"")</f>
        <v/>
      </c>
      <c r="E17" s="8">
        <f>IF(D17="","",D17*1000)</f>
        <v/>
      </c>
      <c r="F17" s="13">
        <f t="array" ref="F17">IFERROR(INDEX('User Input'!$B$10:$AAD$10, ,_xlfn.XMATCH(B17&amp;C17, 'User Input'!$B$7:$AAD$7&amp;'User Input'!$B$8:$AAD$8)),"")</f>
        <v/>
      </c>
      <c r="G17" s="8">
        <f>IF(F17="","",F17*1000)</f>
        <v/>
      </c>
      <c r="H17" s="8">
        <f>IF(F17="","",F17*1000*(100%-'User Input'!$B$12))</f>
        <v/>
      </c>
      <c r="I17" s="13">
        <f t="array" ref="I17">IFERROR(INDEX('User Input'!$B$11:$AAD$11, ,_xlfn.XMATCH(B17&amp;C17, 'User Input'!$B$7:$AAD$7&amp;'User Input'!$B$8:$AAD$8)),"")</f>
        <v/>
      </c>
      <c r="J17" s="8">
        <f>IF(I17="","",I17*1000)</f>
        <v/>
      </c>
      <c r="K17">
        <f>DownloadedData!$H15</f>
        <v/>
      </c>
      <c r="L17" s="8">
        <f>IF(AND(E17="",H17="",J17=""),"",(E17+H17+J17)*K17)</f>
        <v/>
      </c>
      <c r="N17" s="8">
        <f>IF(L17="","",(C17*L17*(100%-'User Input'!$B$12))+(C17*J17*K17*'User Input'!$B$12))</f>
        <v/>
      </c>
      <c r="P17" s="13">
        <f>IF(AND(Ladder!A17&gt;='User Input'!B$2, Ladder!A17&lt;='User Input'!C$2),Ladder!A17,"")</f>
        <v/>
      </c>
      <c r="Q17" s="8">
        <f>IF(P17="","", SUMIFS($L$4:$L$89, $B$4:$B$89, "&gt;="&amp;DATE(P17,1,1),$B$4:$B$89,"&lt;"&amp;DATE(P17+1,1,1)))</f>
        <v/>
      </c>
      <c r="R17" s="17">
        <f t="array" ref="R17">IF(P17="","",IFERROR(INDEX('User Input'!$B$5:$DD$5,,_xlfn.XMATCH(P17,'User Input'!$B$4:$DD$4)),'User Input'!$B$3))</f>
        <v/>
      </c>
      <c r="S17" s="8">
        <f>IF(R17="","",(Q17+SUM(N17:N102)-R17))</f>
        <v/>
      </c>
    </row>
    <row r="18">
      <c r="A18" s="13">
        <f>IF(OR(TEXT(B17,"YYYY")&lt;TEXT(B18,"YYYY"),ISBLANK(TEXT(B17,"YYYY"))),YEAR(B18),"")</f>
        <v/>
      </c>
      <c r="B18" s="2">
        <f>DownloadedData!$C16</f>
        <v/>
      </c>
      <c r="C18" s="20">
        <f>DownloadedData!$B16/100</f>
        <v/>
      </c>
      <c r="D18">
        <f t="array" ref="D18"> IFERROR(INDEX('User Input'!$B$9:$AAD$9, ,_xlfn.XMATCH(B18&amp;C18, 'User Input'!$B$7:$AAD$7&amp;'User Input'!$B$8:$AAD$8)),"")</f>
        <v/>
      </c>
      <c r="E18" s="8">
        <f>IF(D18="","",D18*1000)</f>
        <v/>
      </c>
      <c r="F18" s="13">
        <f t="array" ref="F18">IFERROR(INDEX('User Input'!$B$10:$AAD$10, ,_xlfn.XMATCH(B18&amp;C18, 'User Input'!$B$7:$AAD$7&amp;'User Input'!$B$8:$AAD$8)),"")</f>
        <v/>
      </c>
      <c r="G18" s="8">
        <f>IF(F18="","",F18*1000)</f>
        <v/>
      </c>
      <c r="H18" s="8">
        <f>IF(F18="","",F18*1000*(100%-'User Input'!$B$12))</f>
        <v/>
      </c>
      <c r="I18" s="13">
        <f t="array" ref="I18">IFERROR(INDEX('User Input'!$B$11:$AAD$11, ,_xlfn.XMATCH(B18&amp;C18, 'User Input'!$B$7:$AAD$7&amp;'User Input'!$B$8:$AAD$8)),"")</f>
        <v/>
      </c>
      <c r="J18" s="8">
        <f>IF(I18="","",I18*1000)</f>
        <v/>
      </c>
      <c r="K18">
        <f>DownloadedData!$H16</f>
        <v/>
      </c>
      <c r="L18" s="8">
        <f>IF(AND(E18="",H18="",J18=""),"",(E18+H18+J18)*K18)</f>
        <v/>
      </c>
      <c r="N18" s="8">
        <f>IF(L18="","",(C18*L18*(100%-'User Input'!$B$12))+(C18*J18*K18*'User Input'!$B$12))</f>
        <v/>
      </c>
      <c r="P18" s="13">
        <f>IF(AND(Ladder!A18&gt;='User Input'!B$2, Ladder!A18&lt;='User Input'!C$2),Ladder!A18,"")</f>
        <v/>
      </c>
      <c r="Q18" s="8">
        <f>IF(P18="","", SUMIFS($L$4:$L$89, $B$4:$B$89, "&gt;="&amp;DATE(P18,1,1),$B$4:$B$89,"&lt;"&amp;DATE(P18+1,1,1)))</f>
        <v/>
      </c>
      <c r="R18" s="17">
        <f t="array" ref="R18">IF(P18="","",IFERROR(INDEX('User Input'!$B$5:$DD$5,,_xlfn.XMATCH(P18,'User Input'!$B$4:$DD$4)),'User Input'!$B$3))</f>
        <v/>
      </c>
      <c r="S18" s="8">
        <f>IF(R18="","",(Q18+SUM(N18:N103)-R18))</f>
        <v/>
      </c>
    </row>
    <row r="19">
      <c r="A19" s="13">
        <f>IF(OR(TEXT(B18,"YYYY")&lt;TEXT(B19,"YYYY"),ISBLANK(TEXT(B18,"YYYY"))),YEAR(B19),"")</f>
        <v/>
      </c>
      <c r="B19" s="2">
        <f>DownloadedData!$C17</f>
        <v/>
      </c>
      <c r="C19" s="20">
        <f>DownloadedData!$B17/100</f>
        <v/>
      </c>
      <c r="D19">
        <f t="array" ref="D19"> IFERROR(INDEX('User Input'!$B$9:$AAD$9, ,_xlfn.XMATCH(B19&amp;C19, 'User Input'!$B$7:$AAD$7&amp;'User Input'!$B$8:$AAD$8)),"")</f>
        <v/>
      </c>
      <c r="E19" s="8">
        <f>IF(D19="","",D19*1000)</f>
        <v/>
      </c>
      <c r="F19" s="13">
        <f t="array" ref="F19">IFERROR(INDEX('User Input'!$B$10:$AAD$10, ,_xlfn.XMATCH(B19&amp;C19, 'User Input'!$B$7:$AAD$7&amp;'User Input'!$B$8:$AAD$8)),"")</f>
        <v/>
      </c>
      <c r="G19" s="8">
        <f>IF(F19="","",F19*1000)</f>
        <v/>
      </c>
      <c r="H19" s="8">
        <f>IF(F19="","",F19*1000*(100%-'User Input'!$B$12))</f>
        <v/>
      </c>
      <c r="I19" s="13">
        <f t="array" ref="I19">IFERROR(INDEX('User Input'!$B$11:$AAD$11, ,_xlfn.XMATCH(B19&amp;C19, 'User Input'!$B$7:$AAD$7&amp;'User Input'!$B$8:$AAD$8)),"")</f>
        <v/>
      </c>
      <c r="J19" s="8">
        <f>IF(I19="","",I19*1000)</f>
        <v/>
      </c>
      <c r="K19">
        <f>DownloadedData!$H17</f>
        <v/>
      </c>
      <c r="L19" s="8">
        <f>IF(AND(E19="",H19="",J19=""),"",(E19+H19+J19)*K19)</f>
        <v/>
      </c>
      <c r="N19" s="8">
        <f>IF(L19="","",(C19*L19*(100%-'User Input'!$B$12))+(C19*J19*K19*'User Input'!$B$12))</f>
        <v/>
      </c>
      <c r="P19" s="13">
        <f>IF(AND(Ladder!A19&gt;='User Input'!B$2, Ladder!A19&lt;='User Input'!C$2),Ladder!A19,"")</f>
        <v/>
      </c>
      <c r="Q19" s="8">
        <f>IF(P19="","", SUMIFS($L$4:$L$89, $B$4:$B$89, "&gt;="&amp;DATE(P19,1,1),$B$4:$B$89,"&lt;"&amp;DATE(P19+1,1,1)))</f>
        <v/>
      </c>
      <c r="R19" s="17">
        <f t="array" ref="R19">IF(P19="","",IFERROR(INDEX('User Input'!$B$5:$DD$5,,_xlfn.XMATCH(P19,'User Input'!$B$4:$DD$4)),'User Input'!$B$3))</f>
        <v/>
      </c>
      <c r="S19" s="8">
        <f>IF(R19="","",(Q19+SUM(N19:N104)-R19))</f>
        <v/>
      </c>
    </row>
    <row r="20">
      <c r="A20" s="13">
        <f>IF(OR(TEXT(B19,"YYYY")&lt;TEXT(B20,"YYYY"),ISBLANK(TEXT(B19,"YYYY"))),YEAR(B20),"")</f>
        <v/>
      </c>
      <c r="B20" s="2">
        <f>DownloadedData!$C18</f>
        <v/>
      </c>
      <c r="C20" s="20">
        <f>DownloadedData!$B18/100</f>
        <v/>
      </c>
      <c r="D20">
        <f t="array" ref="D20"> IFERROR(INDEX('User Input'!$B$9:$AAD$9, ,_xlfn.XMATCH(B20&amp;C20, 'User Input'!$B$7:$AAD$7&amp;'User Input'!$B$8:$AAD$8)),"")</f>
        <v/>
      </c>
      <c r="E20" s="8">
        <f>IF(D20="","",D20*1000)</f>
        <v/>
      </c>
      <c r="F20" s="13">
        <f t="array" ref="F20">IFERROR(INDEX('User Input'!$B$10:$AAD$10, ,_xlfn.XMATCH(B20&amp;C20, 'User Input'!$B$7:$AAD$7&amp;'User Input'!$B$8:$AAD$8)),"")</f>
        <v/>
      </c>
      <c r="G20" s="8">
        <f>IF(F20="","",F20*1000)</f>
        <v/>
      </c>
      <c r="H20" s="8">
        <f>IF(F20="","",F20*1000*(100%-'User Input'!$B$12))</f>
        <v/>
      </c>
      <c r="I20" s="13">
        <f t="array" ref="I20">IFERROR(INDEX('User Input'!$B$11:$AAD$11, ,_xlfn.XMATCH(B20&amp;C20, 'User Input'!$B$7:$AAD$7&amp;'User Input'!$B$8:$AAD$8)),"")</f>
        <v/>
      </c>
      <c r="J20" s="8">
        <f>IF(I20="","",I20*1000)</f>
        <v/>
      </c>
      <c r="K20">
        <f>DownloadedData!$H18</f>
        <v/>
      </c>
      <c r="L20" s="8">
        <f>IF(AND(E20="",H20="",J20=""),"",(E20+H20+J20)*K20)</f>
        <v/>
      </c>
      <c r="N20" s="8">
        <f>IF(L20="","",(C20*L20*(100%-'User Input'!$B$12))+(C20*J20*K20*'User Input'!$B$12))</f>
        <v/>
      </c>
      <c r="P20" s="13">
        <f>IF(AND(Ladder!A20&gt;='User Input'!B$2, Ladder!A20&lt;='User Input'!C$2),Ladder!A20,"")</f>
        <v/>
      </c>
      <c r="Q20" s="8">
        <f>IF(P20="","", SUMIFS($L$4:$L$89, $B$4:$B$89, "&gt;="&amp;DATE(P20,1,1),$B$4:$B$89,"&lt;"&amp;DATE(P20+1,1,1)))</f>
        <v/>
      </c>
      <c r="R20" s="17">
        <f t="array" ref="R20">IF(P20="","",IFERROR(INDEX('User Input'!$B$5:$DD$5,,_xlfn.XMATCH(P20,'User Input'!$B$4:$DD$4)),'User Input'!$B$3))</f>
        <v/>
      </c>
      <c r="S20" s="8">
        <f>IF(R20="","",(Q20+SUM(N20:N105)-R20))</f>
        <v/>
      </c>
      <c r="U20" s="3" t="n"/>
    </row>
    <row r="21">
      <c r="A21" s="13">
        <f>IF(OR(TEXT(B20,"YYYY")&lt;TEXT(B21,"YYYY"),ISBLANK(TEXT(B20,"YYYY"))),YEAR(B21),"")</f>
        <v/>
      </c>
      <c r="B21" s="2">
        <f>DownloadedData!$C19</f>
        <v/>
      </c>
      <c r="C21" s="20">
        <f>DownloadedData!$B19/100</f>
        <v/>
      </c>
      <c r="D21">
        <f t="array" ref="D21"> IFERROR(INDEX('User Input'!$B$9:$AAD$9, ,_xlfn.XMATCH(B21&amp;C21, 'User Input'!$B$7:$AAD$7&amp;'User Input'!$B$8:$AAD$8)),"")</f>
        <v/>
      </c>
      <c r="E21" s="8">
        <f>IF(D21="","",D21*1000)</f>
        <v/>
      </c>
      <c r="F21" s="13">
        <f t="array" ref="F21">IFERROR(INDEX('User Input'!$B$10:$AAD$10, ,_xlfn.XMATCH(B21&amp;C21, 'User Input'!$B$7:$AAD$7&amp;'User Input'!$B$8:$AAD$8)),"")</f>
        <v/>
      </c>
      <c r="G21" s="8">
        <f>IF(F21="","",F21*1000)</f>
        <v/>
      </c>
      <c r="H21" s="8">
        <f>IF(F21="","",F21*1000*(100%-'User Input'!$B$12))</f>
        <v/>
      </c>
      <c r="I21" s="13">
        <f t="array" ref="I21">IFERROR(INDEX('User Input'!$B$11:$AAD$11, ,_xlfn.XMATCH(B21&amp;C21, 'User Input'!$B$7:$AAD$7&amp;'User Input'!$B$8:$AAD$8)),"")</f>
        <v/>
      </c>
      <c r="J21" s="8">
        <f>IF(I21="","",I21*1000)</f>
        <v/>
      </c>
      <c r="K21">
        <f>DownloadedData!$H19</f>
        <v/>
      </c>
      <c r="L21" s="8">
        <f>IF(AND(E21="",H21="",J21=""),"",(E21+H21+J21)*K21)</f>
        <v/>
      </c>
      <c r="N21" s="8">
        <f>IF(L21="","",(C21*L21*(100%-'User Input'!$B$12))+(C21*J21*K21*'User Input'!$B$12))</f>
        <v/>
      </c>
      <c r="P21" s="13">
        <f>IF(AND(Ladder!A21&gt;='User Input'!B$2, Ladder!A21&lt;='User Input'!C$2),Ladder!A21,"")</f>
        <v/>
      </c>
      <c r="Q21" s="8">
        <f>IF(P21="","", SUMIFS($L$4:$L$89, $B$4:$B$89, "&gt;="&amp;DATE(P21,1,1),$B$4:$B$89,"&lt;"&amp;DATE(P21+1,1,1)))</f>
        <v/>
      </c>
      <c r="R21" s="17">
        <f t="array" ref="R21">IF(P21="","",IFERROR(INDEX('User Input'!$B$5:$DD$5,,_xlfn.XMATCH(P21,'User Input'!$B$4:$DD$4)),'User Input'!$B$3))</f>
        <v/>
      </c>
      <c r="S21" s="8">
        <f>IF(R21="","",(Q21+SUM(N21:N106)-R21))</f>
        <v/>
      </c>
    </row>
    <row r="22">
      <c r="A22" s="13">
        <f>IF(OR(TEXT(B21,"YYYY")&lt;TEXT(B22,"YYYY"),ISBLANK(TEXT(B21,"YYYY"))),YEAR(B22),"")</f>
        <v/>
      </c>
      <c r="B22" s="2">
        <f>DownloadedData!$C20</f>
        <v/>
      </c>
      <c r="C22" s="20">
        <f>DownloadedData!$B20/100</f>
        <v/>
      </c>
      <c r="D22">
        <f t="array" ref="D22"> IFERROR(INDEX('User Input'!$B$9:$AAD$9, ,_xlfn.XMATCH(B22&amp;C22, 'User Input'!$B$7:$AAD$7&amp;'User Input'!$B$8:$AAD$8)),"")</f>
        <v/>
      </c>
      <c r="E22" s="8">
        <f>IF(D22="","",D22*1000)</f>
        <v/>
      </c>
      <c r="F22" s="13">
        <f t="array" ref="F22">IFERROR(INDEX('User Input'!$B$10:$AAD$10, ,_xlfn.XMATCH(B22&amp;C22, 'User Input'!$B$7:$AAD$7&amp;'User Input'!$B$8:$AAD$8)),"")</f>
        <v/>
      </c>
      <c r="G22" s="8">
        <f>IF(F22="","",F22*1000)</f>
        <v/>
      </c>
      <c r="H22" s="8">
        <f>IF(F22="","",F22*1000*(100%-'User Input'!$B$12))</f>
        <v/>
      </c>
      <c r="I22" s="13">
        <f t="array" ref="I22">IFERROR(INDEX('User Input'!$B$11:$AAD$11, ,_xlfn.XMATCH(B22&amp;C22, 'User Input'!$B$7:$AAD$7&amp;'User Input'!$B$8:$AAD$8)),"")</f>
        <v/>
      </c>
      <c r="J22" s="8">
        <f>IF(I22="","",I22*1000)</f>
        <v/>
      </c>
      <c r="K22">
        <f>DownloadedData!$H20</f>
        <v/>
      </c>
      <c r="L22" s="8">
        <f>IF(AND(E22="",H22="",J22=""),"",(E22+H22+J22)*K22)</f>
        <v/>
      </c>
      <c r="N22" s="8">
        <f>IF(L22="","",(C22*L22*(100%-'User Input'!$B$12))+(C22*J22*K22*'User Input'!$B$12))</f>
        <v/>
      </c>
      <c r="P22" s="13">
        <f>IF(AND(Ladder!A22&gt;='User Input'!B$2, Ladder!A22&lt;='User Input'!C$2),Ladder!A22,"")</f>
        <v/>
      </c>
      <c r="Q22" s="8">
        <f>IF(P22="","", SUMIFS($L$4:$L$89, $B$4:$B$89, "&gt;="&amp;DATE(P22,1,1),$B$4:$B$89,"&lt;"&amp;DATE(P22+1,1,1)))</f>
        <v/>
      </c>
      <c r="R22" s="17">
        <f t="array" ref="R22">IF(P22="","",IFERROR(INDEX('User Input'!$B$5:$DD$5,,_xlfn.XMATCH(P22,'User Input'!$B$4:$DD$4)),'User Input'!$B$3))</f>
        <v/>
      </c>
      <c r="S22" s="8">
        <f>IF(R22="","",(Q22+SUM(N22:N107)-R22))</f>
        <v/>
      </c>
    </row>
    <row r="23">
      <c r="A23" s="13">
        <f>IF(OR(TEXT(B22,"YYYY")&lt;TEXT(B23,"YYYY"),ISBLANK(TEXT(B22,"YYYY"))),YEAR(B23),"")</f>
        <v/>
      </c>
      <c r="B23" s="2">
        <f>DownloadedData!$C21</f>
        <v/>
      </c>
      <c r="C23" s="20">
        <f>DownloadedData!$B21/100</f>
        <v/>
      </c>
      <c r="D23">
        <f t="array" ref="D23"> IFERROR(INDEX('User Input'!$B$9:$AAD$9, ,_xlfn.XMATCH(B23&amp;C23, 'User Input'!$B$7:$AAD$7&amp;'User Input'!$B$8:$AAD$8)),"")</f>
        <v/>
      </c>
      <c r="E23" s="8">
        <f>IF(D23="","",D23*1000)</f>
        <v/>
      </c>
      <c r="F23" s="13">
        <f t="array" ref="F23">IFERROR(INDEX('User Input'!$B$10:$AAD$10, ,_xlfn.XMATCH(B23&amp;C23, 'User Input'!$B$7:$AAD$7&amp;'User Input'!$B$8:$AAD$8)),"")</f>
        <v/>
      </c>
      <c r="G23" s="8">
        <f>IF(F23="","",F23*1000)</f>
        <v/>
      </c>
      <c r="H23" s="8">
        <f>IF(F23="","",F23*1000*(100%-'User Input'!$B$12))</f>
        <v/>
      </c>
      <c r="I23" s="13">
        <f t="array" ref="I23">IFERROR(INDEX('User Input'!$B$11:$AAD$11, ,_xlfn.XMATCH(B23&amp;C23, 'User Input'!$B$7:$AAD$7&amp;'User Input'!$B$8:$AAD$8)),"")</f>
        <v/>
      </c>
      <c r="J23" s="8">
        <f>IF(I23="","",I23*1000)</f>
        <v/>
      </c>
      <c r="K23">
        <f>DownloadedData!$H21</f>
        <v/>
      </c>
      <c r="L23" s="8">
        <f>IF(AND(E23="",H23="",J23=""),"",(E23+H23+J23)*K23)</f>
        <v/>
      </c>
      <c r="N23" s="8">
        <f>IF(L23="","",(C23*L23*(100%-'User Input'!$B$12))+(C23*J23*K23*'User Input'!$B$12))</f>
        <v/>
      </c>
      <c r="P23" s="13">
        <f>IF(AND(Ladder!A23&gt;='User Input'!B$2, Ladder!A23&lt;='User Input'!C$2),Ladder!A23,"")</f>
        <v/>
      </c>
      <c r="Q23" s="8">
        <f>IF(P23="","", SUMIFS($L$4:$L$89, $B$4:$B$89, "&gt;="&amp;DATE(P23,1,1),$B$4:$B$89,"&lt;"&amp;DATE(P23+1,1,1)))</f>
        <v/>
      </c>
      <c r="R23" s="17">
        <f t="array" ref="R23">IF(P23="","",IFERROR(INDEX('User Input'!$B$5:$DD$5,,_xlfn.XMATCH(P23,'User Input'!$B$4:$DD$4)),'User Input'!$B$3))</f>
        <v/>
      </c>
      <c r="S23" s="8">
        <f>IF(R23="","",(Q23+SUM(N23:N108)-R23))</f>
        <v/>
      </c>
    </row>
    <row r="24">
      <c r="A24" s="13">
        <f>IF(OR(TEXT(B23,"YYYY")&lt;TEXT(B24,"YYYY"),ISBLANK(TEXT(B23,"YYYY"))),YEAR(B24),"")</f>
        <v/>
      </c>
      <c r="B24" s="2">
        <f>DownloadedData!$C22</f>
        <v/>
      </c>
      <c r="C24" s="20">
        <f>DownloadedData!$B22/100</f>
        <v/>
      </c>
      <c r="D24">
        <f t="array" ref="D24"> IFERROR(INDEX('User Input'!$B$9:$AAD$9, ,_xlfn.XMATCH(B24&amp;C24, 'User Input'!$B$7:$AAD$7&amp;'User Input'!$B$8:$AAD$8)),"")</f>
        <v/>
      </c>
      <c r="E24" s="8">
        <f>IF(D24="","",D24*1000)</f>
        <v/>
      </c>
      <c r="F24" s="13">
        <f t="array" ref="F24">IFERROR(INDEX('User Input'!$B$10:$AAD$10, ,_xlfn.XMATCH(B24&amp;C24, 'User Input'!$B$7:$AAD$7&amp;'User Input'!$B$8:$AAD$8)),"")</f>
        <v/>
      </c>
      <c r="G24" s="8">
        <f>IF(F24="","",F24*1000)</f>
        <v/>
      </c>
      <c r="H24" s="8">
        <f>IF(F24="","",F24*1000*(100%-'User Input'!$B$12))</f>
        <v/>
      </c>
      <c r="I24" s="13">
        <f t="array" ref="I24">IFERROR(INDEX('User Input'!$B$11:$AAD$11, ,_xlfn.XMATCH(B24&amp;C24, 'User Input'!$B$7:$AAD$7&amp;'User Input'!$B$8:$AAD$8)),"")</f>
        <v/>
      </c>
      <c r="J24" s="8">
        <f>IF(I24="","",I24*1000)</f>
        <v/>
      </c>
      <c r="K24">
        <f>DownloadedData!$H22</f>
        <v/>
      </c>
      <c r="L24" s="8">
        <f>IF(AND(E24="",H24="",J24=""),"",(E24+H24+J24)*K24)</f>
        <v/>
      </c>
      <c r="N24" s="8">
        <f>IF(L24="","",(C24*L24*(100%-'User Input'!$B$12))+(C24*J24*K24*'User Input'!$B$12))</f>
        <v/>
      </c>
      <c r="P24" s="13">
        <f>IF(AND(Ladder!A24&gt;='User Input'!B$2, Ladder!A24&lt;='User Input'!C$2),Ladder!A24,"")</f>
        <v/>
      </c>
      <c r="Q24" s="8">
        <f>IF(P24="","", SUMIFS($L$4:$L$89, $B$4:$B$89, "&gt;="&amp;DATE(P24,1,1),$B$4:$B$89,"&lt;"&amp;DATE(P24+1,1,1)))</f>
        <v/>
      </c>
      <c r="R24" s="17">
        <f t="array" ref="R24">IF(P24="","",IFERROR(INDEX('User Input'!$B$5:$DD$5,,_xlfn.XMATCH(P24,'User Input'!$B$4:$DD$4)),'User Input'!$B$3))</f>
        <v/>
      </c>
      <c r="S24" s="8">
        <f>IF(R24="","",(Q24+SUM(N24:N109)-R24))</f>
        <v/>
      </c>
    </row>
    <row r="25">
      <c r="A25" s="13">
        <f>IF(OR(TEXT(B24,"YYYY")&lt;TEXT(B25,"YYYY"),ISBLANK(TEXT(B24,"YYYY"))),YEAR(B25),"")</f>
        <v/>
      </c>
      <c r="B25" s="2">
        <f>DownloadedData!$C23</f>
        <v/>
      </c>
      <c r="C25" s="20">
        <f>DownloadedData!$B23/100</f>
        <v/>
      </c>
      <c r="D25">
        <f t="array" ref="D25"> IFERROR(INDEX('User Input'!$B$9:$AAD$9, ,_xlfn.XMATCH(B25&amp;C25, 'User Input'!$B$7:$AAD$7&amp;'User Input'!$B$8:$AAD$8)),"")</f>
        <v/>
      </c>
      <c r="E25" s="8">
        <f>IF(D25="","",D25*1000)</f>
        <v/>
      </c>
      <c r="F25" s="13">
        <f t="array" ref="F25">IFERROR(INDEX('User Input'!$B$10:$AAD$10, ,_xlfn.XMATCH(B25&amp;C25, 'User Input'!$B$7:$AAD$7&amp;'User Input'!$B$8:$AAD$8)),"")</f>
        <v/>
      </c>
      <c r="G25" s="8">
        <f>IF(F25="","",F25*1000)</f>
        <v/>
      </c>
      <c r="H25" s="8">
        <f>IF(F25="","",F25*1000*(100%-'User Input'!$B$12))</f>
        <v/>
      </c>
      <c r="I25" s="13">
        <f t="array" ref="I25">IFERROR(INDEX('User Input'!$B$11:$AAD$11, ,_xlfn.XMATCH(B25&amp;C25, 'User Input'!$B$7:$AAD$7&amp;'User Input'!$B$8:$AAD$8)),"")</f>
        <v/>
      </c>
      <c r="J25" s="8">
        <f>IF(I25="","",I25*1000)</f>
        <v/>
      </c>
      <c r="K25">
        <f>DownloadedData!$H23</f>
        <v/>
      </c>
      <c r="L25" s="8">
        <f>IF(AND(E25="",H25="",J25=""),"",(E25+H25+J25)*K25)</f>
        <v/>
      </c>
      <c r="N25" s="8">
        <f>IF(L25="","",(C25*L25*(100%-'User Input'!$B$12))+(C25*J25*K25*'User Input'!$B$12))</f>
        <v/>
      </c>
      <c r="P25" s="13">
        <f>IF(AND(Ladder!A25&gt;='User Input'!B$2, Ladder!A25&lt;='User Input'!C$2),Ladder!A25,"")</f>
        <v/>
      </c>
      <c r="Q25" s="8">
        <f>IF(P25="","", SUMIFS($L$4:$L$89, $B$4:$B$89, "&gt;="&amp;DATE(P25,1,1),$B$4:$B$89,"&lt;"&amp;DATE(P25+1,1,1)))</f>
        <v/>
      </c>
      <c r="R25" s="17">
        <f t="array" ref="R25">IF(P25="","",IFERROR(INDEX('User Input'!$B$5:$DD$5,,_xlfn.XMATCH(P25,'User Input'!$B$4:$DD$4)),'User Input'!$B$3))</f>
        <v/>
      </c>
      <c r="S25" s="8">
        <f>IF(R25="","",(Q25+SUM(N25:N110)-R25))</f>
        <v/>
      </c>
    </row>
    <row r="26">
      <c r="A26" s="13">
        <f>IF(OR(TEXT(B25,"YYYY")&lt;TEXT(B26,"YYYY"),ISBLANK(TEXT(B25,"YYYY"))),YEAR(B26),"")</f>
        <v/>
      </c>
      <c r="B26" s="2">
        <f>DownloadedData!$C24</f>
        <v/>
      </c>
      <c r="C26" s="20">
        <f>DownloadedData!$B24/100</f>
        <v/>
      </c>
      <c r="D26">
        <f t="array" ref="D26"> IFERROR(INDEX('User Input'!$B$9:$AAD$9, ,_xlfn.XMATCH(B26&amp;C26, 'User Input'!$B$7:$AAD$7&amp;'User Input'!$B$8:$AAD$8)),"")</f>
        <v/>
      </c>
      <c r="E26" s="8">
        <f>IF(D26="","",D26*1000)</f>
        <v/>
      </c>
      <c r="F26" s="13">
        <f t="array" ref="F26">IFERROR(INDEX('User Input'!$B$10:$AAD$10, ,_xlfn.XMATCH(B26&amp;C26, 'User Input'!$B$7:$AAD$7&amp;'User Input'!$B$8:$AAD$8)),"")</f>
        <v/>
      </c>
      <c r="G26" s="8">
        <f>IF(F26="","",F26*1000)</f>
        <v/>
      </c>
      <c r="H26" s="8">
        <f>IF(F26="","",F26*1000*(100%-'User Input'!$B$12))</f>
        <v/>
      </c>
      <c r="I26" s="13">
        <f t="array" ref="I26">IFERROR(INDEX('User Input'!$B$11:$AAD$11, ,_xlfn.XMATCH(B26&amp;C26, 'User Input'!$B$7:$AAD$7&amp;'User Input'!$B$8:$AAD$8)),"")</f>
        <v/>
      </c>
      <c r="J26" s="8">
        <f>IF(I26="","",I26*1000)</f>
        <v/>
      </c>
      <c r="K26">
        <f>DownloadedData!$H24</f>
        <v/>
      </c>
      <c r="L26" s="8">
        <f>IF(AND(E26="",H26="",J26=""),"",(E26+H26+J26)*K26)</f>
        <v/>
      </c>
      <c r="N26" s="8">
        <f>IF(L26="","",(C26*L26*(100%-'User Input'!$B$12))+(C26*J26*K26*'User Input'!$B$12))</f>
        <v/>
      </c>
      <c r="P26" s="13">
        <f>IF(AND(Ladder!A26&gt;='User Input'!B$2, Ladder!A26&lt;='User Input'!C$2),Ladder!A26,"")</f>
        <v/>
      </c>
      <c r="Q26" s="8">
        <f>IF(P26="","", SUMIFS($L$4:$L$89, $B$4:$B$89, "&gt;="&amp;DATE(P26,1,1),$B$4:$B$89,"&lt;"&amp;DATE(P26+1,1,1)))</f>
        <v/>
      </c>
      <c r="R26" s="17">
        <f t="array" ref="R26">IF(P26="","",IFERROR(INDEX('User Input'!$B$5:$DD$5,,_xlfn.XMATCH(P26,'User Input'!$B$4:$DD$4)),'User Input'!$B$3))</f>
        <v/>
      </c>
      <c r="S26" s="8">
        <f>IF(R26="","",(Q26+SUM(N26:N111)-R26))</f>
        <v/>
      </c>
    </row>
    <row r="27">
      <c r="A27" s="13">
        <f>IF(OR(TEXT(B26,"YYYY")&lt;TEXT(B27,"YYYY"),ISBLANK(TEXT(B26,"YYYY"))),YEAR(B27),"")</f>
        <v/>
      </c>
      <c r="B27" s="2">
        <f>DownloadedData!$C25</f>
        <v/>
      </c>
      <c r="C27" s="20">
        <f>DownloadedData!$B25/100</f>
        <v/>
      </c>
      <c r="D27">
        <f t="array" ref="D27"> IFERROR(INDEX('User Input'!$B$9:$AAD$9, ,_xlfn.XMATCH(B27&amp;C27, 'User Input'!$B$7:$AAD$7&amp;'User Input'!$B$8:$AAD$8)),"")</f>
        <v/>
      </c>
      <c r="E27" s="8">
        <f>IF(D27="","",D27*1000)</f>
        <v/>
      </c>
      <c r="F27" s="13">
        <f t="array" ref="F27">IFERROR(INDEX('User Input'!$B$10:$AAD$10, ,_xlfn.XMATCH(B27&amp;C27, 'User Input'!$B$7:$AAD$7&amp;'User Input'!$B$8:$AAD$8)),"")</f>
        <v/>
      </c>
      <c r="G27" s="8">
        <f>IF(F27="","",F27*1000)</f>
        <v/>
      </c>
      <c r="H27" s="8">
        <f>IF(F27="","",F27*1000*(100%-'User Input'!$B$12))</f>
        <v/>
      </c>
      <c r="I27" s="13">
        <f t="array" ref="I27">IFERROR(INDEX('User Input'!$B$11:$AAD$11, ,_xlfn.XMATCH(B27&amp;C27, 'User Input'!$B$7:$AAD$7&amp;'User Input'!$B$8:$AAD$8)),"")</f>
        <v/>
      </c>
      <c r="J27" s="8">
        <f>IF(I27="","",I27*1000)</f>
        <v/>
      </c>
      <c r="K27">
        <f>DownloadedData!$H25</f>
        <v/>
      </c>
      <c r="L27" s="8">
        <f>IF(AND(E27="",H27="",J27=""),"",(E27+H27+J27)*K27)</f>
        <v/>
      </c>
      <c r="N27" s="8">
        <f>IF(L27="","",(C27*L27*(100%-'User Input'!$B$12))+(C27*J27*K27*'User Input'!$B$12))</f>
        <v/>
      </c>
      <c r="P27" s="13">
        <f>IF(AND(Ladder!A27&gt;='User Input'!B$2, Ladder!A27&lt;='User Input'!C$2),Ladder!A27,"")</f>
        <v/>
      </c>
      <c r="Q27" s="8">
        <f>IF(P27="","", SUMIFS($L$4:$L$89, $B$4:$B$89, "&gt;="&amp;DATE(P27,1,1),$B$4:$B$89,"&lt;"&amp;DATE(P27+1,1,1)))</f>
        <v/>
      </c>
      <c r="R27" s="17">
        <f t="array" ref="R27">IF(P27="","",IFERROR(INDEX('User Input'!$B$5:$DD$5,,_xlfn.XMATCH(P27,'User Input'!$B$4:$DD$4)),'User Input'!$B$3))</f>
        <v/>
      </c>
      <c r="S27" s="8">
        <f>IF(R27="","",(Q27+SUM(N27:N112)-R27))</f>
        <v/>
      </c>
    </row>
    <row r="28">
      <c r="A28" s="13">
        <f>IF(OR(TEXT(B27,"YYYY")&lt;TEXT(B28,"YYYY"),ISBLANK(TEXT(B27,"YYYY"))),YEAR(B28),"")</f>
        <v/>
      </c>
      <c r="B28" s="2">
        <f>DownloadedData!$C26</f>
        <v/>
      </c>
      <c r="C28" s="20">
        <f>DownloadedData!$B26/100</f>
        <v/>
      </c>
      <c r="D28">
        <f t="array" ref="D28"> IFERROR(INDEX('User Input'!$B$9:$AAD$9, ,_xlfn.XMATCH(B28&amp;C28, 'User Input'!$B$7:$AAD$7&amp;'User Input'!$B$8:$AAD$8)),"")</f>
        <v/>
      </c>
      <c r="E28" s="8">
        <f>IF(D28="","",D28*1000)</f>
        <v/>
      </c>
      <c r="F28" s="13">
        <f t="array" ref="F28">IFERROR(INDEX('User Input'!$B$10:$AAD$10, ,_xlfn.XMATCH(B28&amp;C28, 'User Input'!$B$7:$AAD$7&amp;'User Input'!$B$8:$AAD$8)),"")</f>
        <v/>
      </c>
      <c r="G28" s="8">
        <f>IF(F28="","",F28*1000)</f>
        <v/>
      </c>
      <c r="H28" s="8">
        <f>IF(F28="","",F28*1000*(100%-'User Input'!$B$12))</f>
        <v/>
      </c>
      <c r="I28" s="13">
        <f t="array" ref="I28">IFERROR(INDEX('User Input'!$B$11:$AAD$11, ,_xlfn.XMATCH(B28&amp;C28, 'User Input'!$B$7:$AAD$7&amp;'User Input'!$B$8:$AAD$8)),"")</f>
        <v/>
      </c>
      <c r="J28" s="8">
        <f>IF(I28="","",I28*1000)</f>
        <v/>
      </c>
      <c r="K28">
        <f>DownloadedData!$H26</f>
        <v/>
      </c>
      <c r="L28" s="8">
        <f>IF(AND(E28="",H28="",J28=""),"",(E28+H28+J28)*K28)</f>
        <v/>
      </c>
      <c r="N28" s="8">
        <f>IF(L28="","",(C28*L28*(100%-'User Input'!$B$12))+(C28*J28*K28*'User Input'!$B$12))</f>
        <v/>
      </c>
      <c r="P28" s="13">
        <f>IF(AND(Ladder!A28&gt;='User Input'!B$2, Ladder!A28&lt;='User Input'!C$2),Ladder!A28,"")</f>
        <v/>
      </c>
      <c r="Q28" s="8">
        <f>IF(P28="","", SUMIFS($L$4:$L$89, $B$4:$B$89, "&gt;="&amp;DATE(P28,1,1),$B$4:$B$89,"&lt;"&amp;DATE(P28+1,1,1)))</f>
        <v/>
      </c>
      <c r="R28" s="17">
        <f t="array" ref="R28">IF(P28="","",IFERROR(INDEX('User Input'!$B$5:$DD$5,,_xlfn.XMATCH(P28,'User Input'!$B$4:$DD$4)),'User Input'!$B$3))</f>
        <v/>
      </c>
      <c r="S28" s="8">
        <f>IF(R28="","",(Q28+SUM(N28:N113)-R28))</f>
        <v/>
      </c>
    </row>
    <row r="29">
      <c r="A29" s="13">
        <f>IF(OR(TEXT(B28,"YYYY")&lt;TEXT(B29,"YYYY"),ISBLANK(TEXT(B28,"YYYY"))),YEAR(B29),"")</f>
        <v/>
      </c>
      <c r="B29" s="2">
        <f>DownloadedData!$C27</f>
        <v/>
      </c>
      <c r="C29" s="20">
        <f>DownloadedData!$B27/100</f>
        <v/>
      </c>
      <c r="D29">
        <f t="array" ref="D29"> IFERROR(INDEX('User Input'!$B$9:$AAD$9, ,_xlfn.XMATCH(B29&amp;C29, 'User Input'!$B$7:$AAD$7&amp;'User Input'!$B$8:$AAD$8)),"")</f>
        <v/>
      </c>
      <c r="E29" s="8">
        <f>IF(D29="","",D29*1000)</f>
        <v/>
      </c>
      <c r="F29" s="13">
        <f t="array" ref="F29">IFERROR(INDEX('User Input'!$B$10:$AAD$10, ,_xlfn.XMATCH(B29&amp;C29, 'User Input'!$B$7:$AAD$7&amp;'User Input'!$B$8:$AAD$8)),"")</f>
        <v/>
      </c>
      <c r="G29" s="8">
        <f>IF(F29="","",F29*1000)</f>
        <v/>
      </c>
      <c r="H29" s="8">
        <f>IF(F29="","",F29*1000*(100%-'User Input'!$B$12))</f>
        <v/>
      </c>
      <c r="I29" s="13">
        <f t="array" ref="I29">IFERROR(INDEX('User Input'!$B$11:$AAD$11, ,_xlfn.XMATCH(B29&amp;C29, 'User Input'!$B$7:$AAD$7&amp;'User Input'!$B$8:$AAD$8)),"")</f>
        <v/>
      </c>
      <c r="J29" s="8">
        <f>IF(I29="","",I29*1000)</f>
        <v/>
      </c>
      <c r="K29">
        <f>DownloadedData!$H27</f>
        <v/>
      </c>
      <c r="L29" s="8">
        <f>IF(AND(E29="",H29="",J29=""),"",(E29+H29+J29)*K29)</f>
        <v/>
      </c>
      <c r="N29" s="8">
        <f>IF(L29="","",(C29*L29*(100%-'User Input'!$B$12))+(C29*J29*K29*'User Input'!$B$12))</f>
        <v/>
      </c>
      <c r="P29" s="13">
        <f>IF(AND(Ladder!A29&gt;='User Input'!B$2, Ladder!A29&lt;='User Input'!C$2),Ladder!A29,"")</f>
        <v/>
      </c>
      <c r="Q29" s="8">
        <f>IF(P29="","", SUMIFS($L$4:$L$89, $B$4:$B$89, "&gt;="&amp;DATE(P29,1,1),$B$4:$B$89,"&lt;"&amp;DATE(P29+1,1,1)))</f>
        <v/>
      </c>
      <c r="R29" s="17">
        <f t="array" ref="R29">IF(P29="","",IFERROR(INDEX('User Input'!$B$5:$DD$5,,_xlfn.XMATCH(P29,'User Input'!$B$4:$DD$4)),'User Input'!$B$3))</f>
        <v/>
      </c>
      <c r="S29" s="8">
        <f>IF(R29="","",(Q29+SUM(N29:N114)-R29))</f>
        <v/>
      </c>
    </row>
    <row r="30">
      <c r="A30" s="13">
        <f>IF(OR(TEXT(B29,"YYYY")&lt;TEXT(B30,"YYYY"),ISBLANK(TEXT(B29,"YYYY"))),YEAR(B30),"")</f>
        <v/>
      </c>
      <c r="B30" s="2">
        <f>DownloadedData!$C28</f>
        <v/>
      </c>
      <c r="C30" s="20">
        <f>DownloadedData!$B28/100</f>
        <v/>
      </c>
      <c r="D30">
        <f t="array" ref="D30"> IFERROR(INDEX('User Input'!$B$9:$AAD$9, ,_xlfn.XMATCH(B30&amp;C30, 'User Input'!$B$7:$AAD$7&amp;'User Input'!$B$8:$AAD$8)),"")</f>
        <v/>
      </c>
      <c r="E30" s="8">
        <f>IF(D30="","",D30*1000)</f>
        <v/>
      </c>
      <c r="F30" s="13">
        <f t="array" ref="F30">IFERROR(INDEX('User Input'!$B$10:$AAD$10, ,_xlfn.XMATCH(B30&amp;C30, 'User Input'!$B$7:$AAD$7&amp;'User Input'!$B$8:$AAD$8)),"")</f>
        <v/>
      </c>
      <c r="G30" s="8">
        <f>IF(F30="","",F30*1000)</f>
        <v/>
      </c>
      <c r="H30" s="8">
        <f>IF(F30="","",F30*1000*(100%-'User Input'!$B$12))</f>
        <v/>
      </c>
      <c r="I30" s="13">
        <f t="array" ref="I30">IFERROR(INDEX('User Input'!$B$11:$AAD$11, ,_xlfn.XMATCH(B30&amp;C30, 'User Input'!$B$7:$AAD$7&amp;'User Input'!$B$8:$AAD$8)),"")</f>
        <v/>
      </c>
      <c r="J30" s="8">
        <f>IF(I30="","",I30*1000)</f>
        <v/>
      </c>
      <c r="K30">
        <f>DownloadedData!$H28</f>
        <v/>
      </c>
      <c r="L30" s="8">
        <f>IF(AND(E30="",H30="",J30=""),"",(E30+H30+J30)*K30)</f>
        <v/>
      </c>
      <c r="N30" s="8">
        <f>IF(L30="","",(C30*L30*(100%-'User Input'!$B$12))+(C30*J30*K30*'User Input'!$B$12))</f>
        <v/>
      </c>
      <c r="P30" s="13">
        <f>IF(AND(Ladder!A30&gt;='User Input'!B$2, Ladder!A30&lt;='User Input'!C$2),Ladder!A30,"")</f>
        <v/>
      </c>
      <c r="Q30" s="8">
        <f>IF(P30="","", SUMIFS($L$4:$L$89, $B$4:$B$89, "&gt;="&amp;DATE(P30,1,1),$B$4:$B$89,"&lt;"&amp;DATE(P30+1,1,1)))</f>
        <v/>
      </c>
      <c r="R30" s="17">
        <f t="array" ref="R30">IF(P30="","",IFERROR(INDEX('User Input'!$B$5:$DD$5,,_xlfn.XMATCH(P30,'User Input'!$B$4:$DD$4)),'User Input'!$B$3))</f>
        <v/>
      </c>
      <c r="S30" s="8">
        <f>IF(R30="","",(Q30+SUM(N30:N115)-R30))</f>
        <v/>
      </c>
    </row>
    <row r="31">
      <c r="A31" s="13">
        <f>IF(OR(TEXT(B30,"YYYY")&lt;TEXT(B31,"YYYY"),ISBLANK(TEXT(B30,"YYYY"))),YEAR(B31),"")</f>
        <v/>
      </c>
      <c r="B31" s="2">
        <f>DownloadedData!$C29</f>
        <v/>
      </c>
      <c r="C31" s="20">
        <f>DownloadedData!$B29/100</f>
        <v/>
      </c>
      <c r="D31">
        <f t="array" ref="D31"> IFERROR(INDEX('User Input'!$B$9:$AAD$9, ,_xlfn.XMATCH(B31&amp;C31, 'User Input'!$B$7:$AAD$7&amp;'User Input'!$B$8:$AAD$8)),"")</f>
        <v/>
      </c>
      <c r="E31" s="8">
        <f>IF(D31="","",D31*1000)</f>
        <v/>
      </c>
      <c r="F31" s="13">
        <f t="array" ref="F31">IFERROR(INDEX('User Input'!$B$10:$AAD$10, ,_xlfn.XMATCH(B31&amp;C31, 'User Input'!$B$7:$AAD$7&amp;'User Input'!$B$8:$AAD$8)),"")</f>
        <v/>
      </c>
      <c r="G31" s="8">
        <f>IF(F31="","",F31*1000)</f>
        <v/>
      </c>
      <c r="H31" s="8">
        <f>IF(F31="","",F31*1000*(100%-'User Input'!$B$12))</f>
        <v/>
      </c>
      <c r="I31" s="13">
        <f t="array" ref="I31">IFERROR(INDEX('User Input'!$B$11:$AAD$11, ,_xlfn.XMATCH(B31&amp;C31, 'User Input'!$B$7:$AAD$7&amp;'User Input'!$B$8:$AAD$8)),"")</f>
        <v/>
      </c>
      <c r="J31" s="8">
        <f>IF(I31="","",I31*1000)</f>
        <v/>
      </c>
      <c r="K31">
        <f>DownloadedData!$H29</f>
        <v/>
      </c>
      <c r="L31" s="8">
        <f>IF(AND(E31="",H31="",J31=""),"",(E31+H31+J31)*K31)</f>
        <v/>
      </c>
      <c r="N31" s="8">
        <f>IF(L31="","",(C31*L31*(100%-'User Input'!$B$12))+(C31*J31*K31*'User Input'!$B$12))</f>
        <v/>
      </c>
      <c r="P31" s="13">
        <f>IF(AND(Ladder!A31&gt;='User Input'!B$2, Ladder!A31&lt;='User Input'!C$2),Ladder!A31,"")</f>
        <v/>
      </c>
      <c r="Q31" s="8">
        <f>IF(P31="","", SUMIFS($L$4:$L$89, $B$4:$B$89, "&gt;="&amp;DATE(P31,1,1),$B$4:$B$89,"&lt;"&amp;DATE(P31+1,1,1)))</f>
        <v/>
      </c>
      <c r="R31" s="17">
        <f t="array" ref="R31">IF(P31="","",IFERROR(INDEX('User Input'!$B$5:$DD$5,,_xlfn.XMATCH(P31,'User Input'!$B$4:$DD$4)),'User Input'!$B$3))</f>
        <v/>
      </c>
      <c r="S31" s="8">
        <f>IF(R31="","",(Q31+SUM(N31:N116)-R31))</f>
        <v/>
      </c>
    </row>
    <row r="32">
      <c r="A32" s="13">
        <f>IF(OR(TEXT(B31,"YYYY")&lt;TEXT(B32,"YYYY"),ISBLANK(TEXT(B31,"YYYY"))),YEAR(B32),"")</f>
        <v/>
      </c>
      <c r="B32" s="2">
        <f>DownloadedData!$C30</f>
        <v/>
      </c>
      <c r="C32" s="20">
        <f>DownloadedData!$B30/100</f>
        <v/>
      </c>
      <c r="D32">
        <f t="array" ref="D32"> IFERROR(INDEX('User Input'!$B$9:$AAD$9, ,_xlfn.XMATCH(B32&amp;C32, 'User Input'!$B$7:$AAD$7&amp;'User Input'!$B$8:$AAD$8)),"")</f>
        <v/>
      </c>
      <c r="E32" s="8">
        <f>IF(D32="","",D32*1000)</f>
        <v/>
      </c>
      <c r="F32" s="13">
        <f t="array" ref="F32">IFERROR(INDEX('User Input'!$B$10:$AAD$10, ,_xlfn.XMATCH(B32&amp;C32, 'User Input'!$B$7:$AAD$7&amp;'User Input'!$B$8:$AAD$8)),"")</f>
        <v/>
      </c>
      <c r="G32" s="8">
        <f>IF(F32="","",F32*1000)</f>
        <v/>
      </c>
      <c r="H32" s="8">
        <f>IF(F32="","",F32*1000*(100%-'User Input'!$B$12))</f>
        <v/>
      </c>
      <c r="I32" s="13">
        <f t="array" ref="I32">IFERROR(INDEX('User Input'!$B$11:$AAD$11, ,_xlfn.XMATCH(B32&amp;C32, 'User Input'!$B$7:$AAD$7&amp;'User Input'!$B$8:$AAD$8)),"")</f>
        <v/>
      </c>
      <c r="J32" s="8">
        <f>IF(I32="","",I32*1000)</f>
        <v/>
      </c>
      <c r="K32">
        <f>DownloadedData!$H30</f>
        <v/>
      </c>
      <c r="L32" s="8">
        <f>IF(AND(E32="",H32="",J32=""),"",(E32+H32+J32)*K32)</f>
        <v/>
      </c>
      <c r="N32" s="8">
        <f>IF(L32="","",(C32*L32*(100%-'User Input'!$B$12))+(C32*J32*K32*'User Input'!$B$12))</f>
        <v/>
      </c>
      <c r="P32" s="13">
        <f>IF(AND(Ladder!A32&gt;='User Input'!B$2, Ladder!A32&lt;='User Input'!C$2),Ladder!A32,"")</f>
        <v/>
      </c>
      <c r="Q32" s="8">
        <f>IF(P32="","", SUMIFS($L$4:$L$89, $B$4:$B$89, "&gt;="&amp;DATE(P32,1,1),$B$4:$B$89,"&lt;"&amp;DATE(P32+1,1,1)))</f>
        <v/>
      </c>
      <c r="R32" s="17">
        <f t="array" ref="R32">IF(P32="","",IFERROR(INDEX('User Input'!$B$5:$DD$5,,_xlfn.XMATCH(P32,'User Input'!$B$4:$DD$4)),'User Input'!$B$3))</f>
        <v/>
      </c>
      <c r="S32" s="8">
        <f>IF(R32="","",(Q32+SUM(N32:N117)-R32))</f>
        <v/>
      </c>
    </row>
    <row r="33">
      <c r="A33" s="13">
        <f>IF(OR(TEXT(B32,"YYYY")&lt;TEXT(B33,"YYYY"),ISBLANK(TEXT(B32,"YYYY"))),YEAR(B33),"")</f>
        <v/>
      </c>
      <c r="B33" s="2">
        <f>DownloadedData!$C31</f>
        <v/>
      </c>
      <c r="C33" s="20">
        <f>DownloadedData!$B31/100</f>
        <v/>
      </c>
      <c r="D33">
        <f t="array" ref="D33"> IFERROR(INDEX('User Input'!$B$9:$AAD$9, ,_xlfn.XMATCH(B33&amp;C33, 'User Input'!$B$7:$AAD$7&amp;'User Input'!$B$8:$AAD$8)),"")</f>
        <v/>
      </c>
      <c r="E33" s="8">
        <f>IF(D33="","",D33*1000)</f>
        <v/>
      </c>
      <c r="F33" s="13">
        <f t="array" ref="F33">IFERROR(INDEX('User Input'!$B$10:$AAD$10, ,_xlfn.XMATCH(B33&amp;C33, 'User Input'!$B$7:$AAD$7&amp;'User Input'!$B$8:$AAD$8)),"")</f>
        <v/>
      </c>
      <c r="G33" s="8">
        <f>IF(F33="","",F33*1000)</f>
        <v/>
      </c>
      <c r="H33" s="8">
        <f>IF(F33="","",F33*1000*(100%-'User Input'!$B$12))</f>
        <v/>
      </c>
      <c r="I33" s="13">
        <f t="array" ref="I33">IFERROR(INDEX('User Input'!$B$11:$AAD$11, ,_xlfn.XMATCH(B33&amp;C33, 'User Input'!$B$7:$AAD$7&amp;'User Input'!$B$8:$AAD$8)),"")</f>
        <v/>
      </c>
      <c r="J33" s="8">
        <f>IF(I33="","",I33*1000)</f>
        <v/>
      </c>
      <c r="K33">
        <f>DownloadedData!$H31</f>
        <v/>
      </c>
      <c r="L33" s="8">
        <f>IF(AND(E33="",H33="",J33=""),"",(E33+H33+J33)*K33)</f>
        <v/>
      </c>
      <c r="N33" s="8">
        <f>IF(L33="","",(C33*L33*(100%-'User Input'!$B$12))+(C33*J33*K33*'User Input'!$B$12))</f>
        <v/>
      </c>
      <c r="P33" s="13">
        <f>IF(AND(Ladder!A33&gt;='User Input'!B$2, Ladder!A33&lt;='User Input'!C$2),Ladder!A33,"")</f>
        <v/>
      </c>
      <c r="Q33" s="8">
        <f>IF(P33="","", SUMIFS($L$4:$L$89, $B$4:$B$89, "&gt;="&amp;DATE(P33,1,1),$B$4:$B$89,"&lt;"&amp;DATE(P33+1,1,1)))</f>
        <v/>
      </c>
      <c r="R33" s="17">
        <f t="array" ref="R33">IF(P33="","",IFERROR(INDEX('User Input'!$B$5:$DD$5,,_xlfn.XMATCH(P33,'User Input'!$B$4:$DD$4)),'User Input'!$B$3))</f>
        <v/>
      </c>
      <c r="S33" s="8">
        <f>IF(R33="","",(Q33+SUM(N33:N118)-R33))</f>
        <v/>
      </c>
    </row>
    <row r="34">
      <c r="A34" s="13">
        <f>IF(OR(TEXT(B33,"YYYY")&lt;TEXT(B34,"YYYY"),ISBLANK(TEXT(B33,"YYYY"))),YEAR(B34),"")</f>
        <v/>
      </c>
      <c r="B34" s="2">
        <f>DownloadedData!$C32</f>
        <v/>
      </c>
      <c r="C34" s="20">
        <f>DownloadedData!$B32/100</f>
        <v/>
      </c>
      <c r="D34">
        <f t="array" ref="D34"> IFERROR(INDEX('User Input'!$B$9:$AAD$9, ,_xlfn.XMATCH(B34&amp;C34, 'User Input'!$B$7:$AAD$7&amp;'User Input'!$B$8:$AAD$8)),"")</f>
        <v/>
      </c>
      <c r="E34" s="8">
        <f>IF(D34="","",D34*1000)</f>
        <v/>
      </c>
      <c r="F34" s="13">
        <f t="array" ref="F34">IFERROR(INDEX('User Input'!$B$10:$AAD$10, ,_xlfn.XMATCH(B34&amp;C34, 'User Input'!$B$7:$AAD$7&amp;'User Input'!$B$8:$AAD$8)),"")</f>
        <v/>
      </c>
      <c r="G34" s="8">
        <f>IF(F34="","",F34*1000)</f>
        <v/>
      </c>
      <c r="H34" s="8">
        <f>IF(F34="","",F34*1000*(100%-'User Input'!$B$12))</f>
        <v/>
      </c>
      <c r="I34" s="13">
        <f t="array" ref="I34">IFERROR(INDEX('User Input'!$B$11:$AAD$11, ,_xlfn.XMATCH(B34&amp;C34, 'User Input'!$B$7:$AAD$7&amp;'User Input'!$B$8:$AAD$8)),"")</f>
        <v/>
      </c>
      <c r="J34" s="8">
        <f>IF(I34="","",I34*1000)</f>
        <v/>
      </c>
      <c r="K34">
        <f>DownloadedData!$H32</f>
        <v/>
      </c>
      <c r="L34" s="8">
        <f>IF(AND(E34="",H34="",J34=""),"",(E34+H34+J34)*K34)</f>
        <v/>
      </c>
      <c r="N34" s="8">
        <f>IF(L34="","",(C34*L34*(100%-'User Input'!$B$12))+(C34*J34*K34*'User Input'!$B$12))</f>
        <v/>
      </c>
      <c r="P34" s="13">
        <f>IF(AND(Ladder!A34&gt;='User Input'!B$2, Ladder!A34&lt;='User Input'!C$2),Ladder!A34,"")</f>
        <v/>
      </c>
      <c r="Q34" s="8">
        <f>IF(P34="","", SUMIFS($L$4:$L$89, $B$4:$B$89, "&gt;="&amp;DATE(P34,1,1),$B$4:$B$89,"&lt;"&amp;DATE(P34+1,1,1)))</f>
        <v/>
      </c>
      <c r="R34" s="17">
        <f t="array" ref="R34">IF(P34="","",IFERROR(INDEX('User Input'!$B$5:$DD$5,,_xlfn.XMATCH(P34,'User Input'!$B$4:$DD$4)),'User Input'!$B$3))</f>
        <v/>
      </c>
      <c r="S34" s="8">
        <f>IF(R34="","",(Q34+SUM(N34:N119)-R34))</f>
        <v/>
      </c>
    </row>
    <row r="35">
      <c r="A35" s="13">
        <f>IF(OR(TEXT(B34,"YYYY")&lt;TEXT(B35,"YYYY"),ISBLANK(TEXT(B34,"YYYY"))),YEAR(B35),"")</f>
        <v/>
      </c>
      <c r="B35" s="2">
        <f>DownloadedData!$C33</f>
        <v/>
      </c>
      <c r="C35" s="20">
        <f>DownloadedData!$B33/100</f>
        <v/>
      </c>
      <c r="D35">
        <f t="array" ref="D35"> IFERROR(INDEX('User Input'!$B$9:$AAD$9, ,_xlfn.XMATCH(B35&amp;C35, 'User Input'!$B$7:$AAD$7&amp;'User Input'!$B$8:$AAD$8)),"")</f>
        <v/>
      </c>
      <c r="E35" s="8">
        <f>IF(D35="","",D35*1000)</f>
        <v/>
      </c>
      <c r="F35" s="13">
        <f t="array" ref="F35">IFERROR(INDEX('User Input'!$B$10:$AAD$10, ,_xlfn.XMATCH(B35&amp;C35, 'User Input'!$B$7:$AAD$7&amp;'User Input'!$B$8:$AAD$8)),"")</f>
        <v/>
      </c>
      <c r="G35" s="8">
        <f>IF(F35="","",F35*1000)</f>
        <v/>
      </c>
      <c r="H35" s="8">
        <f>IF(F35="","",F35*1000*(100%-'User Input'!$B$12))</f>
        <v/>
      </c>
      <c r="I35" s="13">
        <f t="array" ref="I35">IFERROR(INDEX('User Input'!$B$11:$AAD$11, ,_xlfn.XMATCH(B35&amp;C35, 'User Input'!$B$7:$AAD$7&amp;'User Input'!$B$8:$AAD$8)),"")</f>
        <v/>
      </c>
      <c r="J35" s="8">
        <f>IF(I35="","",I35*1000)</f>
        <v/>
      </c>
      <c r="K35">
        <f>DownloadedData!$H33</f>
        <v/>
      </c>
      <c r="L35" s="8">
        <f>IF(AND(E35="",H35="",J35=""),"",(E35+H35+J35)*K35)</f>
        <v/>
      </c>
      <c r="N35" s="8">
        <f>IF(L35="","",(C35*L35*(100%-'User Input'!$B$12))+(C35*J35*K35*'User Input'!$B$12))</f>
        <v/>
      </c>
      <c r="P35" s="13">
        <f>IF(AND(Ladder!A35&gt;='User Input'!B$2, Ladder!A35&lt;='User Input'!C$2),Ladder!A35,"")</f>
        <v/>
      </c>
      <c r="Q35" s="8">
        <f>IF(P35="","", SUMIFS($L$4:$L$89, $B$4:$B$89, "&gt;="&amp;DATE(P35,1,1),$B$4:$B$89,"&lt;"&amp;DATE(P35+1,1,1)))</f>
        <v/>
      </c>
      <c r="R35" s="17">
        <f t="array" ref="R35">IF(P35="","",IFERROR(INDEX('User Input'!$B$5:$DD$5,,_xlfn.XMATCH(P35,'User Input'!$B$4:$DD$4)),'User Input'!$B$3))</f>
        <v/>
      </c>
      <c r="S35" s="8">
        <f>IF(R35="","",(Q35+SUM(N35:N120)-R35))</f>
        <v/>
      </c>
    </row>
    <row r="36">
      <c r="A36" s="13">
        <f>IF(OR(TEXT(B35,"YYYY")&lt;TEXT(B36,"YYYY"),ISBLANK(TEXT(B35,"YYYY"))),YEAR(B36),"")</f>
        <v/>
      </c>
      <c r="B36" s="2">
        <f>DownloadedData!$C34</f>
        <v/>
      </c>
      <c r="C36" s="20">
        <f>DownloadedData!$B34/100</f>
        <v/>
      </c>
      <c r="D36">
        <f t="array" ref="D36"> IFERROR(INDEX('User Input'!$B$9:$AAD$9, ,_xlfn.XMATCH(B36&amp;C36, 'User Input'!$B$7:$AAD$7&amp;'User Input'!$B$8:$AAD$8)),"")</f>
        <v/>
      </c>
      <c r="E36" s="8">
        <f>IF(D36="","",D36*1000)</f>
        <v/>
      </c>
      <c r="F36" s="13">
        <f t="array" ref="F36">IFERROR(INDEX('User Input'!$B$10:$AAD$10, ,_xlfn.XMATCH(B36&amp;C36, 'User Input'!$B$7:$AAD$7&amp;'User Input'!$B$8:$AAD$8)),"")</f>
        <v/>
      </c>
      <c r="G36" s="8">
        <f>IF(F36="","",F36*1000)</f>
        <v/>
      </c>
      <c r="H36" s="8">
        <f>IF(F36="","",F36*1000*(100%-'User Input'!$B$12))</f>
        <v/>
      </c>
      <c r="I36" s="13">
        <f t="array" ref="I36">IFERROR(INDEX('User Input'!$B$11:$AAD$11, ,_xlfn.XMATCH(B36&amp;C36, 'User Input'!$B$7:$AAD$7&amp;'User Input'!$B$8:$AAD$8)),"")</f>
        <v/>
      </c>
      <c r="J36" s="8">
        <f>IF(I36="","",I36*1000)</f>
        <v/>
      </c>
      <c r="K36">
        <f>DownloadedData!$H34</f>
        <v/>
      </c>
      <c r="L36" s="8">
        <f>IF(AND(E36="",H36="",J36=""),"",(E36+H36+J36)*K36)</f>
        <v/>
      </c>
      <c r="N36" s="8">
        <f>IF(L36="","",(C36*L36*(100%-'User Input'!$B$12))+(C36*J36*K36*'User Input'!$B$12))</f>
        <v/>
      </c>
      <c r="P36" s="13">
        <f>IF(AND(Ladder!A36&gt;='User Input'!B$2, Ladder!A36&lt;='User Input'!C$2),Ladder!A36,"")</f>
        <v/>
      </c>
      <c r="Q36" s="8">
        <f>IF(P36="","", SUMIFS($L$4:$L$89, $B$4:$B$89, "&gt;="&amp;DATE(P36,1,1),$B$4:$B$89,"&lt;"&amp;DATE(P36+1,1,1)))</f>
        <v/>
      </c>
      <c r="R36" s="17">
        <f t="array" ref="R36">IF(P36="","",IFERROR(INDEX('User Input'!$B$5:$DD$5,,_xlfn.XMATCH(P36,'User Input'!$B$4:$DD$4)),'User Input'!$B$3))</f>
        <v/>
      </c>
      <c r="S36" s="8">
        <f>IF(R36="","",(Q36+SUM(N36:N121)-R36))</f>
        <v/>
      </c>
    </row>
    <row r="37">
      <c r="A37" s="13">
        <f>IF(OR(TEXT(B36,"YYYY")&lt;TEXT(B37,"YYYY"),ISBLANK(TEXT(B36,"YYYY"))),YEAR(B37),"")</f>
        <v/>
      </c>
      <c r="B37" s="2">
        <f>DownloadedData!$C35</f>
        <v/>
      </c>
      <c r="C37" s="20">
        <f>DownloadedData!$B35/100</f>
        <v/>
      </c>
      <c r="D37">
        <f t="array" ref="D37"> IFERROR(INDEX('User Input'!$B$9:$AAD$9, ,_xlfn.XMATCH(B37&amp;C37, 'User Input'!$B$7:$AAD$7&amp;'User Input'!$B$8:$AAD$8)),"")</f>
        <v/>
      </c>
      <c r="E37" s="8">
        <f>IF(D37="","",D37*1000)</f>
        <v/>
      </c>
      <c r="F37" s="13">
        <f t="array" ref="F37">IFERROR(INDEX('User Input'!$B$10:$AAD$10, ,_xlfn.XMATCH(B37&amp;C37, 'User Input'!$B$7:$AAD$7&amp;'User Input'!$B$8:$AAD$8)),"")</f>
        <v/>
      </c>
      <c r="G37" s="8">
        <f>IF(F37="","",F37*1000)</f>
        <v/>
      </c>
      <c r="H37" s="8">
        <f>IF(F37="","",F37*1000*(100%-'User Input'!$B$12))</f>
        <v/>
      </c>
      <c r="I37" s="13">
        <f t="array" ref="I37">IFERROR(INDEX('User Input'!$B$11:$AAD$11, ,_xlfn.XMATCH(B37&amp;C37, 'User Input'!$B$7:$AAD$7&amp;'User Input'!$B$8:$AAD$8)),"")</f>
        <v/>
      </c>
      <c r="J37" s="8">
        <f>IF(I37="","",I37*1000)</f>
        <v/>
      </c>
      <c r="K37">
        <f>DownloadedData!$H35</f>
        <v/>
      </c>
      <c r="L37" s="8">
        <f>IF(AND(E37="",H37="",J37=""),"",(E37+H37+J37)*K37)</f>
        <v/>
      </c>
      <c r="N37" s="8">
        <f>IF(L37="","",(C37*L37*(100%-'User Input'!$B$12))+(C37*J37*K37*'User Input'!$B$12))</f>
        <v/>
      </c>
      <c r="P37" s="13">
        <f>IF(AND(Ladder!A37&gt;='User Input'!B$2, Ladder!A37&lt;='User Input'!C$2),Ladder!A37,"")</f>
        <v/>
      </c>
      <c r="Q37" s="8">
        <f>IF(P37="","", SUMIFS($L$4:$L$89, $B$4:$B$89, "&gt;="&amp;DATE(P37,1,1),$B$4:$B$89,"&lt;"&amp;DATE(P37+1,1,1)))</f>
        <v/>
      </c>
      <c r="R37" s="17">
        <f t="array" ref="R37">IF(P37="","",IFERROR(INDEX('User Input'!$B$5:$DD$5,,_xlfn.XMATCH(P37,'User Input'!$B$4:$DD$4)),'User Input'!$B$3))</f>
        <v/>
      </c>
      <c r="S37" s="8">
        <f>IF(R37="","",(Q37+SUM(N37:N122)-R37))</f>
        <v/>
      </c>
    </row>
    <row r="38">
      <c r="A38" s="13">
        <f>IF(OR(TEXT(B37,"YYYY")&lt;TEXT(B38,"YYYY"),ISBLANK(TEXT(B37,"YYYY"))),YEAR(B38),"")</f>
        <v/>
      </c>
      <c r="B38" s="2">
        <f>DownloadedData!$C36</f>
        <v/>
      </c>
      <c r="C38" s="20">
        <f>DownloadedData!$B36/100</f>
        <v/>
      </c>
      <c r="D38">
        <f t="array" ref="D38"> IFERROR(INDEX('User Input'!$B$9:$AAD$9, ,_xlfn.XMATCH(B38&amp;C38, 'User Input'!$B$7:$AAD$7&amp;'User Input'!$B$8:$AAD$8)),"")</f>
        <v/>
      </c>
      <c r="E38" s="8">
        <f>IF(D38="","",D38*1000)</f>
        <v/>
      </c>
      <c r="F38" s="13">
        <f t="array" ref="F38">IFERROR(INDEX('User Input'!$B$10:$AAD$10, ,_xlfn.XMATCH(B38&amp;C38, 'User Input'!$B$7:$AAD$7&amp;'User Input'!$B$8:$AAD$8)),"")</f>
        <v/>
      </c>
      <c r="G38" s="8">
        <f>IF(F38="","",F38*1000)</f>
        <v/>
      </c>
      <c r="H38" s="8">
        <f>IF(F38="","",F38*1000*(100%-'User Input'!$B$12))</f>
        <v/>
      </c>
      <c r="I38" s="13">
        <f t="array" ref="I38">IFERROR(INDEX('User Input'!$B$11:$AAD$11, ,_xlfn.XMATCH(B38&amp;C38, 'User Input'!$B$7:$AAD$7&amp;'User Input'!$B$8:$AAD$8)),"")</f>
        <v/>
      </c>
      <c r="J38" s="8">
        <f>IF(I38="","",I38*1000)</f>
        <v/>
      </c>
      <c r="K38">
        <f>DownloadedData!$H36</f>
        <v/>
      </c>
      <c r="L38" s="8">
        <f>IF(AND(E38="",H38="",J38=""),"",(E38+H38+J38)*K38)</f>
        <v/>
      </c>
      <c r="N38" s="8">
        <f>IF(L38="","",(C38*L38*(100%-'User Input'!$B$12))+(C38*J38*K38*'User Input'!$B$12))</f>
        <v/>
      </c>
      <c r="P38" s="13">
        <f>IF(AND(Ladder!A38&gt;='User Input'!B$2, Ladder!A38&lt;='User Input'!C$2),Ladder!A38,"")</f>
        <v/>
      </c>
      <c r="Q38" s="8">
        <f>IF(P38="","", SUMIFS($L$4:$L$89, $B$4:$B$89, "&gt;="&amp;DATE(P38,1,1),$B$4:$B$89,"&lt;"&amp;DATE(P38+1,1,1)))</f>
        <v/>
      </c>
      <c r="R38" s="17">
        <f t="array" ref="R38">IF(P38="","",IFERROR(INDEX('User Input'!$B$5:$DD$5,,_xlfn.XMATCH(P38,'User Input'!$B$4:$DD$4)),'User Input'!$B$3))</f>
        <v/>
      </c>
      <c r="S38" s="8">
        <f>IF(R38="","",(Q38+SUM(N38:N123)-R38))</f>
        <v/>
      </c>
    </row>
    <row r="39">
      <c r="A39" s="13">
        <f>IF(OR(TEXT(B38,"YYYY")&lt;TEXT(B39,"YYYY"),ISBLANK(TEXT(B38,"YYYY"))),YEAR(B39),"")</f>
        <v/>
      </c>
      <c r="B39" s="2">
        <f>DownloadedData!$C37</f>
        <v/>
      </c>
      <c r="C39" s="20">
        <f>DownloadedData!$B37/100</f>
        <v/>
      </c>
      <c r="D39">
        <f t="array" ref="D39"> IFERROR(INDEX('User Input'!$B$9:$AAD$9, ,_xlfn.XMATCH(B39&amp;C39, 'User Input'!$B$7:$AAD$7&amp;'User Input'!$B$8:$AAD$8)),"")</f>
        <v/>
      </c>
      <c r="E39" s="8">
        <f>IF(D39="","",D39*1000)</f>
        <v/>
      </c>
      <c r="F39" s="13">
        <f t="array" ref="F39">IFERROR(INDEX('User Input'!$B$10:$AAD$10, ,_xlfn.XMATCH(B39&amp;C39, 'User Input'!$B$7:$AAD$7&amp;'User Input'!$B$8:$AAD$8)),"")</f>
        <v/>
      </c>
      <c r="G39" s="8">
        <f>IF(F39="","",F39*1000)</f>
        <v/>
      </c>
      <c r="H39" s="8">
        <f>IF(F39="","",F39*1000*(100%-'User Input'!$B$12))</f>
        <v/>
      </c>
      <c r="I39" s="13">
        <f t="array" ref="I39">IFERROR(INDEX('User Input'!$B$11:$AAD$11, ,_xlfn.XMATCH(B39&amp;C39, 'User Input'!$B$7:$AAD$7&amp;'User Input'!$B$8:$AAD$8)),"")</f>
        <v/>
      </c>
      <c r="J39" s="8">
        <f>IF(I39="","",I39*1000)</f>
        <v/>
      </c>
      <c r="K39">
        <f>DownloadedData!$H37</f>
        <v/>
      </c>
      <c r="L39" s="8">
        <f>IF(AND(E39="",H39="",J39=""),"",(E39+H39+J39)*K39)</f>
        <v/>
      </c>
      <c r="N39" s="8">
        <f>IF(L39="","",(C39*L39*(100%-'User Input'!$B$12))+(C39*J39*K39*'User Input'!$B$12))</f>
        <v/>
      </c>
      <c r="P39" s="13">
        <f>IF(AND(Ladder!A39&gt;='User Input'!B$2, Ladder!A39&lt;='User Input'!C$2),Ladder!A39,"")</f>
        <v/>
      </c>
      <c r="Q39" s="8">
        <f>IF(P39="","", SUMIFS($L$4:$L$89, $B$4:$B$89, "&gt;="&amp;DATE(P39,1,1),$B$4:$B$89,"&lt;"&amp;DATE(P39+1,1,1)))</f>
        <v/>
      </c>
      <c r="R39" s="17">
        <f t="array" ref="R39">IF(P39="","",IFERROR(INDEX('User Input'!$B$5:$DD$5,,_xlfn.XMATCH(P39,'User Input'!$B$4:$DD$4)),'User Input'!$B$3))</f>
        <v/>
      </c>
      <c r="S39" s="8">
        <f>IF(R39="","",(Q39+SUM(N39:N124)-R39))</f>
        <v/>
      </c>
    </row>
    <row r="40">
      <c r="A40" s="13">
        <f>IF(OR(TEXT(B39,"YYYY")&lt;TEXT(B40,"YYYY"),ISBLANK(TEXT(B39,"YYYY"))),YEAR(B40),"")</f>
        <v/>
      </c>
      <c r="B40" s="2">
        <f>DownloadedData!$C38</f>
        <v/>
      </c>
      <c r="C40" s="20">
        <f>DownloadedData!$B38/100</f>
        <v/>
      </c>
      <c r="D40">
        <f t="array" ref="D40"> IFERROR(INDEX('User Input'!$B$9:$AAD$9, ,_xlfn.XMATCH(B40&amp;C40, 'User Input'!$B$7:$AAD$7&amp;'User Input'!$B$8:$AAD$8)),"")</f>
        <v/>
      </c>
      <c r="E40" s="8">
        <f>IF(D40="","",D40*1000)</f>
        <v/>
      </c>
      <c r="F40" s="13">
        <f t="array" ref="F40">IFERROR(INDEX('User Input'!$B$10:$AAD$10, ,_xlfn.XMATCH(B40&amp;C40, 'User Input'!$B$7:$AAD$7&amp;'User Input'!$B$8:$AAD$8)),"")</f>
        <v/>
      </c>
      <c r="G40" s="8">
        <f>IF(F40="","",F40*1000)</f>
        <v/>
      </c>
      <c r="H40" s="8">
        <f>IF(F40="","",F40*1000*(100%-'User Input'!$B$12))</f>
        <v/>
      </c>
      <c r="I40" s="13">
        <f t="array" ref="I40">IFERROR(INDEX('User Input'!$B$11:$AAD$11, ,_xlfn.XMATCH(B40&amp;C40, 'User Input'!$B$7:$AAD$7&amp;'User Input'!$B$8:$AAD$8)),"")</f>
        <v/>
      </c>
      <c r="J40" s="8">
        <f>IF(I40="","",I40*1000)</f>
        <v/>
      </c>
      <c r="K40">
        <f>DownloadedData!$H38</f>
        <v/>
      </c>
      <c r="L40" s="8">
        <f>IF(AND(E40="",H40="",J40=""),"",(E40+H40+J40)*K40)</f>
        <v/>
      </c>
      <c r="N40" s="8">
        <f>IF(L40="","",(C40*L40*(100%-'User Input'!$B$12))+(C40*J40*K40*'User Input'!$B$12))</f>
        <v/>
      </c>
      <c r="P40" s="13">
        <f>IF(AND(Ladder!A40&gt;='User Input'!B$2, Ladder!A40&lt;='User Input'!C$2),Ladder!A40,"")</f>
        <v/>
      </c>
      <c r="Q40" s="8">
        <f>IF(P40="","", SUMIFS($L$4:$L$89, $B$4:$B$89, "&gt;="&amp;DATE(P40,1,1),$B$4:$B$89,"&lt;"&amp;DATE(P40+1,1,1)))</f>
        <v/>
      </c>
      <c r="R40" s="17">
        <f t="array" ref="R40">IF(P40="","",IFERROR(INDEX('User Input'!$B$5:$DD$5,,_xlfn.XMATCH(P40,'User Input'!$B$4:$DD$4)),'User Input'!$B$3))</f>
        <v/>
      </c>
      <c r="S40" s="8">
        <f>IF(R40="","",(Q40+SUM(N40:N125)-R40))</f>
        <v/>
      </c>
    </row>
    <row r="41">
      <c r="A41" s="13">
        <f>IF(OR(TEXT(B40,"YYYY")&lt;TEXT(B41,"YYYY"),ISBLANK(TEXT(B40,"YYYY"))),YEAR(B41),"")</f>
        <v/>
      </c>
      <c r="B41" s="2">
        <f>DownloadedData!$C39</f>
        <v/>
      </c>
      <c r="C41" s="20">
        <f>DownloadedData!$B39/100</f>
        <v/>
      </c>
      <c r="D41">
        <f t="array" ref="D41"> IFERROR(INDEX('User Input'!$B$9:$AAD$9, ,_xlfn.XMATCH(B41&amp;C41, 'User Input'!$B$7:$AAD$7&amp;'User Input'!$B$8:$AAD$8)),"")</f>
        <v/>
      </c>
      <c r="E41" s="8">
        <f>IF(D41="","",D41*1000)</f>
        <v/>
      </c>
      <c r="F41" s="13">
        <f t="array" ref="F41">IFERROR(INDEX('User Input'!$B$10:$AAD$10, ,_xlfn.XMATCH(B41&amp;C41, 'User Input'!$B$7:$AAD$7&amp;'User Input'!$B$8:$AAD$8)),"")</f>
        <v/>
      </c>
      <c r="G41" s="8">
        <f>IF(F41="","",F41*1000)</f>
        <v/>
      </c>
      <c r="H41" s="8">
        <f>IF(F41="","",F41*1000*(100%-'User Input'!$B$12))</f>
        <v/>
      </c>
      <c r="I41" s="13">
        <f t="array" ref="I41">IFERROR(INDEX('User Input'!$B$11:$AAD$11, ,_xlfn.XMATCH(B41&amp;C41, 'User Input'!$B$7:$AAD$7&amp;'User Input'!$B$8:$AAD$8)),"")</f>
        <v/>
      </c>
      <c r="J41" s="8">
        <f>IF(I41="","",I41*1000)</f>
        <v/>
      </c>
      <c r="K41">
        <f>DownloadedData!$H39</f>
        <v/>
      </c>
      <c r="L41" s="8">
        <f>IF(AND(E41="",H41="",J41=""),"",(E41+H41+J41)*K41)</f>
        <v/>
      </c>
      <c r="N41" s="8">
        <f>IF(L41="","",(C41*L41*(100%-'User Input'!$B$12))+(C41*J41*K41*'User Input'!$B$12))</f>
        <v/>
      </c>
      <c r="P41" s="13">
        <f>IF(AND(Ladder!A41&gt;='User Input'!B$2, Ladder!A41&lt;='User Input'!C$2),Ladder!A41,"")</f>
        <v/>
      </c>
      <c r="Q41" s="8">
        <f>IF(P41="","", SUMIFS($L$4:$L$89, $B$4:$B$89, "&gt;="&amp;DATE(P41,1,1),$B$4:$B$89,"&lt;"&amp;DATE(P41+1,1,1)))</f>
        <v/>
      </c>
      <c r="R41" s="17">
        <f t="array" ref="R41">IF(P41="","",IFERROR(INDEX('User Input'!$B$5:$DD$5,,_xlfn.XMATCH(P41,'User Input'!$B$4:$DD$4)),'User Input'!$B$3))</f>
        <v/>
      </c>
      <c r="S41" s="8">
        <f>IF(R41="","",(Q41+SUM(N41:N126)-R41))</f>
        <v/>
      </c>
    </row>
    <row r="42">
      <c r="A42" s="13">
        <f>IF(OR(TEXT(B41,"YYYY")&lt;TEXT(B42,"YYYY"),ISBLANK(TEXT(B41,"YYYY"))),YEAR(B42),"")</f>
        <v/>
      </c>
      <c r="B42" s="2">
        <f>DownloadedData!$C40</f>
        <v/>
      </c>
      <c r="C42" s="20">
        <f>DownloadedData!$B40/100</f>
        <v/>
      </c>
      <c r="D42">
        <f t="array" ref="D42"> IFERROR(INDEX('User Input'!$B$9:$AAD$9, ,_xlfn.XMATCH(B42&amp;C42, 'User Input'!$B$7:$AAD$7&amp;'User Input'!$B$8:$AAD$8)),"")</f>
        <v/>
      </c>
      <c r="E42" s="8">
        <f>IF(D42="","",D42*1000)</f>
        <v/>
      </c>
      <c r="F42" s="13">
        <f t="array" ref="F42">IFERROR(INDEX('User Input'!$B$10:$AAD$10, ,_xlfn.XMATCH(B42&amp;C42, 'User Input'!$B$7:$AAD$7&amp;'User Input'!$B$8:$AAD$8)),"")</f>
        <v/>
      </c>
      <c r="G42" s="8">
        <f>IF(F42="","",F42*1000)</f>
        <v/>
      </c>
      <c r="H42" s="8">
        <f>IF(F42="","",F42*1000*(100%-'User Input'!$B$12))</f>
        <v/>
      </c>
      <c r="I42" s="13">
        <f t="array" ref="I42">IFERROR(INDEX('User Input'!$B$11:$AAD$11, ,_xlfn.XMATCH(B42&amp;C42, 'User Input'!$B$7:$AAD$7&amp;'User Input'!$B$8:$AAD$8)),"")</f>
        <v/>
      </c>
      <c r="J42" s="8">
        <f>IF(I42="","",I42*1000)</f>
        <v/>
      </c>
      <c r="K42">
        <f>DownloadedData!$H40</f>
        <v/>
      </c>
      <c r="L42" s="8">
        <f>IF(AND(E42="",H42="",J42=""),"",(E42+H42+J42)*K42)</f>
        <v/>
      </c>
      <c r="N42" s="8">
        <f>IF(L42="","",(C42*L42*(100%-'User Input'!$B$12))+(C42*J42*K42*'User Input'!$B$12))</f>
        <v/>
      </c>
      <c r="P42" s="13">
        <f>IF(AND(Ladder!A42&gt;='User Input'!B$2, Ladder!A42&lt;='User Input'!C$2),Ladder!A42,"")</f>
        <v/>
      </c>
      <c r="Q42" s="8">
        <f>IF(P42="","", SUMIFS($L$4:$L$89, $B$4:$B$89, "&gt;="&amp;DATE(P42,1,1),$B$4:$B$89,"&lt;"&amp;DATE(P42+1,1,1)))</f>
        <v/>
      </c>
      <c r="R42" s="17">
        <f t="array" ref="R42">IF(P42="","",IFERROR(INDEX('User Input'!$B$5:$DD$5,,_xlfn.XMATCH(P42,'User Input'!$B$4:$DD$4)),'User Input'!$B$3))</f>
        <v/>
      </c>
      <c r="S42" s="8">
        <f>IF(R42="","",(Q42+SUM(N42:N127)-R42))</f>
        <v/>
      </c>
    </row>
    <row r="43">
      <c r="A43" s="13">
        <f>IF(OR(TEXT(B42,"YYYY")&lt;TEXT(B43,"YYYY"),ISBLANK(TEXT(B42,"YYYY"))),YEAR(B43),"")</f>
        <v/>
      </c>
      <c r="B43" s="2">
        <f>DownloadedData!$C41</f>
        <v/>
      </c>
      <c r="C43" s="20">
        <f>DownloadedData!$B41/100</f>
        <v/>
      </c>
      <c r="D43">
        <f t="array" ref="D43"> IFERROR(INDEX('User Input'!$B$9:$AAD$9, ,_xlfn.XMATCH(B43&amp;C43, 'User Input'!$B$7:$AAD$7&amp;'User Input'!$B$8:$AAD$8)),"")</f>
        <v/>
      </c>
      <c r="E43" s="8">
        <f>IF(D43="","",D43*1000)</f>
        <v/>
      </c>
      <c r="F43" s="13">
        <f t="array" ref="F43">IFERROR(INDEX('User Input'!$B$10:$AAD$10, ,_xlfn.XMATCH(B43&amp;C43, 'User Input'!$B$7:$AAD$7&amp;'User Input'!$B$8:$AAD$8)),"")</f>
        <v/>
      </c>
      <c r="G43" s="8">
        <f>IF(F43="","",F43*1000)</f>
        <v/>
      </c>
      <c r="H43" s="8">
        <f>IF(F43="","",F43*1000*(100%-'User Input'!$B$12))</f>
        <v/>
      </c>
      <c r="I43" s="13">
        <f t="array" ref="I43">IFERROR(INDEX('User Input'!$B$11:$AAD$11, ,_xlfn.XMATCH(B43&amp;C43, 'User Input'!$B$7:$AAD$7&amp;'User Input'!$B$8:$AAD$8)),"")</f>
        <v/>
      </c>
      <c r="J43" s="8">
        <f>IF(I43="","",I43*1000)</f>
        <v/>
      </c>
      <c r="K43">
        <f>DownloadedData!$H41</f>
        <v/>
      </c>
      <c r="L43" s="8">
        <f>IF(AND(E43="",H43="",J43=""),"",(E43+H43+J43)*K43)</f>
        <v/>
      </c>
      <c r="N43" s="8">
        <f>IF(L43="","",(C43*L43*(100%-'User Input'!$B$12))+(C43*J43*K43*'User Input'!$B$12))</f>
        <v/>
      </c>
      <c r="P43" s="13">
        <f>IF(AND(Ladder!A43&gt;='User Input'!B$2, Ladder!A43&lt;='User Input'!C$2),Ladder!A43,"")</f>
        <v/>
      </c>
      <c r="Q43" s="8">
        <f>IF(P43="","", SUMIFS($L$4:$L$89, $B$4:$B$89, "&gt;="&amp;DATE(P43,1,1),$B$4:$B$89,"&lt;"&amp;DATE(P43+1,1,1)))</f>
        <v/>
      </c>
      <c r="R43" s="17">
        <f t="array" ref="R43">IF(P43="","",IFERROR(INDEX('User Input'!$B$5:$DD$5,,_xlfn.XMATCH(P43,'User Input'!$B$4:$DD$4)),'User Input'!$B$3))</f>
        <v/>
      </c>
      <c r="S43" s="8">
        <f>IF(R43="","",(Q43+SUM(N43:N128)-R43))</f>
        <v/>
      </c>
    </row>
    <row r="44">
      <c r="A44" s="13">
        <f>IF(OR(TEXT(B43,"YYYY")&lt;TEXT(B44,"YYYY"),ISBLANK(TEXT(B43,"YYYY"))),YEAR(B44),"")</f>
        <v/>
      </c>
      <c r="B44" s="2">
        <f>DownloadedData!$C42</f>
        <v/>
      </c>
      <c r="C44" s="20">
        <f>DownloadedData!$B42/100</f>
        <v/>
      </c>
      <c r="D44">
        <f t="array" ref="D44"> IFERROR(INDEX('User Input'!$B$9:$AAD$9, ,_xlfn.XMATCH(B44&amp;C44, 'User Input'!$B$7:$AAD$7&amp;'User Input'!$B$8:$AAD$8)),"")</f>
        <v/>
      </c>
      <c r="E44" s="8">
        <f>IF(D44="","",D44*1000)</f>
        <v/>
      </c>
      <c r="F44" s="13">
        <f t="array" ref="F44">IFERROR(INDEX('User Input'!$B$10:$AAD$10, ,_xlfn.XMATCH(B44&amp;C44, 'User Input'!$B$7:$AAD$7&amp;'User Input'!$B$8:$AAD$8)),"")</f>
        <v/>
      </c>
      <c r="G44" s="8">
        <f>IF(F44="","",F44*1000)</f>
        <v/>
      </c>
      <c r="H44" s="8">
        <f>IF(F44="","",F44*1000*(100%-'User Input'!$B$12))</f>
        <v/>
      </c>
      <c r="I44" s="13">
        <f t="array" ref="I44">IFERROR(INDEX('User Input'!$B$11:$AAD$11, ,_xlfn.XMATCH(B44&amp;C44, 'User Input'!$B$7:$AAD$7&amp;'User Input'!$B$8:$AAD$8)),"")</f>
        <v/>
      </c>
      <c r="J44" s="8">
        <f>IF(I44="","",I44*1000)</f>
        <v/>
      </c>
      <c r="K44">
        <f>DownloadedData!$H42</f>
        <v/>
      </c>
      <c r="L44" s="8">
        <f>IF(AND(E44="",H44="",J44=""),"",(E44+H44+J44)*K44)</f>
        <v/>
      </c>
      <c r="N44" s="8">
        <f>IF(L44="","",(C44*L44*(100%-'User Input'!$B$12))+(C44*J44*K44*'User Input'!$B$12))</f>
        <v/>
      </c>
      <c r="P44" s="13">
        <f>IF(AND(Ladder!A44&gt;='User Input'!B$2, Ladder!A44&lt;='User Input'!C$2),Ladder!A44,"")</f>
        <v/>
      </c>
      <c r="Q44" s="8">
        <f>IF(P44="","", SUMIFS($L$4:$L$89, $B$4:$B$89, "&gt;="&amp;DATE(P44,1,1),$B$4:$B$89,"&lt;"&amp;DATE(P44+1,1,1)))</f>
        <v/>
      </c>
      <c r="R44" s="17">
        <f t="array" ref="R44">IF(P44="","",IFERROR(INDEX('User Input'!$B$5:$DD$5,,_xlfn.XMATCH(P44,'User Input'!$B$4:$DD$4)),'User Input'!$B$3))</f>
        <v/>
      </c>
      <c r="S44" s="8">
        <f>IF(R44="","",(Q44+SUM(N44:N129)-R44))</f>
        <v/>
      </c>
    </row>
    <row r="45">
      <c r="A45" s="13">
        <f>IF(OR(TEXT(B44,"YYYY")&lt;TEXT(B45,"YYYY"),ISBLANK(TEXT(B44,"YYYY"))),YEAR(B45),"")</f>
        <v/>
      </c>
      <c r="B45" s="2">
        <f>DownloadedData!$C43</f>
        <v/>
      </c>
      <c r="C45" s="20">
        <f>DownloadedData!$B43/100</f>
        <v/>
      </c>
      <c r="D45">
        <f t="array" ref="D45"> IFERROR(INDEX('User Input'!$B$9:$AAD$9, ,_xlfn.XMATCH(B45&amp;C45, 'User Input'!$B$7:$AAD$7&amp;'User Input'!$B$8:$AAD$8)),"")</f>
        <v/>
      </c>
      <c r="E45" s="8">
        <f>IF(D45="","",D45*1000)</f>
        <v/>
      </c>
      <c r="F45" s="13">
        <f t="array" ref="F45">IFERROR(INDEX('User Input'!$B$10:$AAD$10, ,_xlfn.XMATCH(B45&amp;C45, 'User Input'!$B$7:$AAD$7&amp;'User Input'!$B$8:$AAD$8)),"")</f>
        <v/>
      </c>
      <c r="G45" s="8">
        <f>IF(F45="","",F45*1000)</f>
        <v/>
      </c>
      <c r="H45" s="8">
        <f>IF(F45="","",F45*1000*(100%-'User Input'!$B$12))</f>
        <v/>
      </c>
      <c r="I45" s="13">
        <f t="array" ref="I45">IFERROR(INDEX('User Input'!$B$11:$AAD$11, ,_xlfn.XMATCH(B45&amp;C45, 'User Input'!$B$7:$AAD$7&amp;'User Input'!$B$8:$AAD$8)),"")</f>
        <v/>
      </c>
      <c r="J45" s="8">
        <f>IF(I45="","",I45*1000)</f>
        <v/>
      </c>
      <c r="K45">
        <f>DownloadedData!$H43</f>
        <v/>
      </c>
      <c r="L45" s="8">
        <f>IF(AND(E45="",H45="",J45=""),"",(E45+H45+J45)*K45)</f>
        <v/>
      </c>
      <c r="N45" s="8">
        <f>IF(L45="","",(C45*L45*(100%-'User Input'!$B$12))+(C45*J45*K45*'User Input'!$B$12))</f>
        <v/>
      </c>
      <c r="P45" s="13">
        <f>IF(AND(Ladder!A45&gt;='User Input'!B$2, Ladder!A45&lt;='User Input'!C$2),Ladder!A45,"")</f>
        <v/>
      </c>
      <c r="Q45" s="8">
        <f>IF(P45="","", SUMIFS($L$4:$L$89, $B$4:$B$89, "&gt;="&amp;DATE(P45,1,1),$B$4:$B$89,"&lt;"&amp;DATE(P45+1,1,1)))</f>
        <v/>
      </c>
      <c r="R45" s="17">
        <f t="array" ref="R45">IF(P45="","",IFERROR(INDEX('User Input'!$B$5:$DD$5,,_xlfn.XMATCH(P45,'User Input'!$B$4:$DD$4)),'User Input'!$B$3))</f>
        <v/>
      </c>
      <c r="S45" s="8">
        <f>IF(R45="","",(Q45+SUM(N45:N130)-R45))</f>
        <v/>
      </c>
    </row>
    <row r="46">
      <c r="A46" s="13">
        <f>IF(OR(TEXT(B45,"YYYY")&lt;TEXT(B46,"YYYY"),ISBLANK(TEXT(B45,"YYYY"))),YEAR(B46),"")</f>
        <v/>
      </c>
      <c r="B46" s="2">
        <f>DownloadedData!$C44</f>
        <v/>
      </c>
      <c r="C46" s="20">
        <f>DownloadedData!$B44/100</f>
        <v/>
      </c>
      <c r="D46">
        <f t="array" ref="D46"> IFERROR(INDEX('User Input'!$B$9:$AAD$9, ,_xlfn.XMATCH(B46&amp;C46, 'User Input'!$B$7:$AAD$7&amp;'User Input'!$B$8:$AAD$8)),"")</f>
        <v/>
      </c>
      <c r="E46" s="8">
        <f>IF(D46="","",D46*1000)</f>
        <v/>
      </c>
      <c r="F46" s="13">
        <f t="array" ref="F46">IFERROR(INDEX('User Input'!$B$10:$AAD$10, ,_xlfn.XMATCH(B46&amp;C46, 'User Input'!$B$7:$AAD$7&amp;'User Input'!$B$8:$AAD$8)),"")</f>
        <v/>
      </c>
      <c r="G46" s="8">
        <f>IF(F46="","",F46*1000)</f>
        <v/>
      </c>
      <c r="H46" s="8">
        <f>IF(F46="","",F46*1000*(100%-'User Input'!$B$12))</f>
        <v/>
      </c>
      <c r="I46" s="13">
        <f t="array" ref="I46">IFERROR(INDEX('User Input'!$B$11:$AAD$11, ,_xlfn.XMATCH(B46&amp;C46, 'User Input'!$B$7:$AAD$7&amp;'User Input'!$B$8:$AAD$8)),"")</f>
        <v/>
      </c>
      <c r="J46" s="8">
        <f>IF(I46="","",I46*1000)</f>
        <v/>
      </c>
      <c r="K46">
        <f>DownloadedData!$H44</f>
        <v/>
      </c>
      <c r="L46" s="8">
        <f>IF(AND(E46="",H46="",J46=""),"",(E46+H46+J46)*K46)</f>
        <v/>
      </c>
      <c r="N46" s="8">
        <f>IF(L46="","",(C46*L46*(100%-'User Input'!$B$12))+(C46*J46*K46*'User Input'!$B$12))</f>
        <v/>
      </c>
      <c r="P46" s="13">
        <f>IF(AND(Ladder!A46&gt;='User Input'!B$2, Ladder!A46&lt;='User Input'!C$2),Ladder!A46,"")</f>
        <v/>
      </c>
      <c r="Q46" s="8">
        <f>IF(P46="","", SUMIFS($L$4:$L$89, $B$4:$B$89, "&gt;="&amp;DATE(P46,1,1),$B$4:$B$89,"&lt;"&amp;DATE(P46+1,1,1)))</f>
        <v/>
      </c>
      <c r="R46" s="17">
        <f t="array" ref="R46">IF(P46="","",IFERROR(INDEX('User Input'!$B$5:$DD$5,,_xlfn.XMATCH(P46,'User Input'!$B$4:$DD$4)),'User Input'!$B$3))</f>
        <v/>
      </c>
      <c r="S46" s="8">
        <f>IF(R46="","",(Q46+SUM(N46:N131)-R46))</f>
        <v/>
      </c>
    </row>
    <row r="47">
      <c r="A47" s="13">
        <f>IF(OR(TEXT(B46,"YYYY")&lt;TEXT(B47,"YYYY"),ISBLANK(TEXT(B46,"YYYY"))),YEAR(B47),"")</f>
        <v/>
      </c>
      <c r="B47" s="2">
        <f>DownloadedData!$C45</f>
        <v/>
      </c>
      <c r="C47" s="20">
        <f>DownloadedData!$B45/100</f>
        <v/>
      </c>
      <c r="D47">
        <f t="array" ref="D47"> IFERROR(INDEX('User Input'!$B$9:$AAD$9, ,_xlfn.XMATCH(B47&amp;C47, 'User Input'!$B$7:$AAD$7&amp;'User Input'!$B$8:$AAD$8)),"")</f>
        <v/>
      </c>
      <c r="E47" s="8">
        <f>IF(D47="","",D47*1000)</f>
        <v/>
      </c>
      <c r="F47" s="13">
        <f t="array" ref="F47">IFERROR(INDEX('User Input'!$B$10:$AAD$10, ,_xlfn.XMATCH(B47&amp;C47, 'User Input'!$B$7:$AAD$7&amp;'User Input'!$B$8:$AAD$8)),"")</f>
        <v/>
      </c>
      <c r="G47" s="8">
        <f>IF(F47="","",F47*1000)</f>
        <v/>
      </c>
      <c r="H47" s="8">
        <f>IF(F47="","",F47*1000*(100%-'User Input'!$B$12))</f>
        <v/>
      </c>
      <c r="I47" s="13">
        <f t="array" ref="I47">IFERROR(INDEX('User Input'!$B$11:$AAD$11, ,_xlfn.XMATCH(B47&amp;C47, 'User Input'!$B$7:$AAD$7&amp;'User Input'!$B$8:$AAD$8)),"")</f>
        <v/>
      </c>
      <c r="J47" s="8">
        <f>IF(I47="","",I47*1000)</f>
        <v/>
      </c>
      <c r="K47">
        <f>DownloadedData!$H45</f>
        <v/>
      </c>
      <c r="L47" s="8">
        <f>IF(AND(E47="",H47="",J47=""),"",(E47+H47+J47)*K47)</f>
        <v/>
      </c>
      <c r="N47" s="8">
        <f>IF(L47="","",(C47*L47*(100%-'User Input'!$B$12))+(C47*J47*K47*'User Input'!$B$12))</f>
        <v/>
      </c>
      <c r="P47" s="13">
        <f>IF(AND(Ladder!A47&gt;='User Input'!B$2, Ladder!A47&lt;='User Input'!C$2),Ladder!A47,"")</f>
        <v/>
      </c>
      <c r="Q47" s="8">
        <f>IF(P47="","", SUMIFS($L$4:$L$89, $B$4:$B$89, "&gt;="&amp;DATE(P47,1,1),$B$4:$B$89,"&lt;"&amp;DATE(P47+1,1,1)))</f>
        <v/>
      </c>
      <c r="R47" s="17">
        <f t="array" ref="R47">IF(P47="","",IFERROR(INDEX('User Input'!$B$5:$DD$5,,_xlfn.XMATCH(P47,'User Input'!$B$4:$DD$4)),'User Input'!$B$3))</f>
        <v/>
      </c>
      <c r="S47" s="8">
        <f>IF(R47="","",(Q47+SUM(N47:N132)-R47))</f>
        <v/>
      </c>
    </row>
    <row r="48">
      <c r="A48" s="13">
        <f>IF(OR(TEXT(B47,"YYYY")&lt;TEXT(B48,"YYYY"),ISBLANK(TEXT(B47,"YYYY"))),YEAR(B48),"")</f>
        <v/>
      </c>
      <c r="B48" s="2">
        <f>DownloadedData!$C46</f>
        <v/>
      </c>
      <c r="C48" s="20">
        <f>DownloadedData!$B46/100</f>
        <v/>
      </c>
      <c r="D48">
        <f t="array" ref="D48"> IFERROR(INDEX('User Input'!$B$9:$AAD$9, ,_xlfn.XMATCH(B48&amp;C48, 'User Input'!$B$7:$AAD$7&amp;'User Input'!$B$8:$AAD$8)),"")</f>
        <v/>
      </c>
      <c r="E48" s="8">
        <f>IF(D48="","",D48*1000)</f>
        <v/>
      </c>
      <c r="F48" s="13">
        <f t="array" ref="F48">IFERROR(INDEX('User Input'!$B$10:$AAD$10, ,_xlfn.XMATCH(B48&amp;C48, 'User Input'!$B$7:$AAD$7&amp;'User Input'!$B$8:$AAD$8)),"")</f>
        <v/>
      </c>
      <c r="G48" s="8">
        <f>IF(F48="","",F48*1000)</f>
        <v/>
      </c>
      <c r="H48" s="8">
        <f>IF(F48="","",F48*1000*(100%-'User Input'!$B$12))</f>
        <v/>
      </c>
      <c r="I48" s="13">
        <f t="array" ref="I48">IFERROR(INDEX('User Input'!$B$11:$AAD$11, ,_xlfn.XMATCH(B48&amp;C48, 'User Input'!$B$7:$AAD$7&amp;'User Input'!$B$8:$AAD$8)),"")</f>
        <v/>
      </c>
      <c r="J48" s="8">
        <f>IF(I48="","",I48*1000)</f>
        <v/>
      </c>
      <c r="K48">
        <f>DownloadedData!$H46</f>
        <v/>
      </c>
      <c r="L48" s="8">
        <f>IF(AND(E48="",H48="",J48=""),"",(E48+H48+J48)*K48)</f>
        <v/>
      </c>
      <c r="N48" s="8">
        <f>IF(L48="","",(C48*L48*(100%-'User Input'!$B$12))+(C48*J48*K48*'User Input'!$B$12))</f>
        <v/>
      </c>
      <c r="P48" s="13">
        <f>IF(AND(Ladder!A48&gt;='User Input'!B$2, Ladder!A48&lt;='User Input'!C$2),Ladder!A48,"")</f>
        <v/>
      </c>
      <c r="Q48" s="8">
        <f>IF(P48="","", SUMIFS($L$4:$L$89, $B$4:$B$89, "&gt;="&amp;DATE(P48,1,1),$B$4:$B$89,"&lt;"&amp;DATE(P48+1,1,1)))</f>
        <v/>
      </c>
      <c r="R48" s="17">
        <f t="array" ref="R48">IF(P48="","",IFERROR(INDEX('User Input'!$B$5:$DD$5,,_xlfn.XMATCH(P48,'User Input'!$B$4:$DD$4)),'User Input'!$B$3))</f>
        <v/>
      </c>
      <c r="S48" s="8">
        <f>IF(R48="","",(Q48+SUM(N48:N133)-R48))</f>
        <v/>
      </c>
    </row>
    <row r="49">
      <c r="A49" s="13">
        <f>IF(OR(TEXT(B48,"YYYY")&lt;TEXT(B49,"YYYY"),ISBLANK(TEXT(B48,"YYYY"))),YEAR(B49),"")</f>
        <v/>
      </c>
      <c r="B49" s="2">
        <f>DownloadedData!$C47</f>
        <v/>
      </c>
      <c r="C49" s="20">
        <f>DownloadedData!$B47/100</f>
        <v/>
      </c>
      <c r="D49">
        <f t="array" ref="D49"> IFERROR(INDEX('User Input'!$B$9:$AAD$9, ,_xlfn.XMATCH(B49&amp;C49, 'User Input'!$B$7:$AAD$7&amp;'User Input'!$B$8:$AAD$8)),"")</f>
        <v/>
      </c>
      <c r="E49" s="8">
        <f>IF(D49="","",D49*1000)</f>
        <v/>
      </c>
      <c r="F49" s="13">
        <f t="array" ref="F49">IFERROR(INDEX('User Input'!$B$10:$AAD$10, ,_xlfn.XMATCH(B49&amp;C49, 'User Input'!$B$7:$AAD$7&amp;'User Input'!$B$8:$AAD$8)),"")</f>
        <v/>
      </c>
      <c r="G49" s="8">
        <f>IF(F49="","",F49*1000)</f>
        <v/>
      </c>
      <c r="H49" s="8">
        <f>IF(F49="","",F49*1000*(100%-'User Input'!$B$12))</f>
        <v/>
      </c>
      <c r="I49" s="13">
        <f t="array" ref="I49">IFERROR(INDEX('User Input'!$B$11:$AAD$11, ,_xlfn.XMATCH(B49&amp;C49, 'User Input'!$B$7:$AAD$7&amp;'User Input'!$B$8:$AAD$8)),"")</f>
        <v/>
      </c>
      <c r="J49" s="8">
        <f>IF(I49="","",I49*1000)</f>
        <v/>
      </c>
      <c r="K49">
        <f>DownloadedData!$H47</f>
        <v/>
      </c>
      <c r="L49" s="8">
        <f>IF(AND(E49="",H49="",J49=""),"",(E49+H49+J49)*K49)</f>
        <v/>
      </c>
      <c r="N49" s="8">
        <f>IF(L49="","",(C49*L49*(100%-'User Input'!$B$12))+(C49*J49*K49*'User Input'!$B$12))</f>
        <v/>
      </c>
      <c r="P49" s="13">
        <f>IF(AND(Ladder!A49&gt;='User Input'!B$2, Ladder!A49&lt;='User Input'!C$2),Ladder!A49,"")</f>
        <v/>
      </c>
      <c r="Q49" s="8">
        <f>IF(P49="","", SUMIFS($L$4:$L$89, $B$4:$B$89, "&gt;="&amp;DATE(P49,1,1),$B$4:$B$89,"&lt;"&amp;DATE(P49+1,1,1)))</f>
        <v/>
      </c>
      <c r="R49" s="17">
        <f t="array" ref="R49">IF(P49="","",IFERROR(INDEX('User Input'!$B$5:$DD$5,,_xlfn.XMATCH(P49,'User Input'!$B$4:$DD$4)),'User Input'!$B$3))</f>
        <v/>
      </c>
      <c r="S49" s="8">
        <f>IF(R49="","",(Q49+SUM(N49:N134)-R49))</f>
        <v/>
      </c>
    </row>
    <row r="50">
      <c r="A50" s="13">
        <f>IF(OR(TEXT(B49,"YYYY")&lt;TEXT(B50,"YYYY"),ISBLANK(TEXT(B49,"YYYY"))),YEAR(B50),"")</f>
        <v/>
      </c>
      <c r="B50" s="2">
        <f>DownloadedData!$C48</f>
        <v/>
      </c>
      <c r="C50" s="20">
        <f>DownloadedData!$B48/100</f>
        <v/>
      </c>
      <c r="D50">
        <f t="array" ref="D50"> IFERROR(INDEX('User Input'!$B$9:$AAD$9, ,_xlfn.XMATCH(B50&amp;C50, 'User Input'!$B$7:$AAD$7&amp;'User Input'!$B$8:$AAD$8)),"")</f>
        <v/>
      </c>
      <c r="E50" s="8">
        <f>IF(D50="","",D50*1000)</f>
        <v/>
      </c>
      <c r="F50" s="13">
        <f t="array" ref="F50">IFERROR(INDEX('User Input'!$B$10:$AAD$10, ,_xlfn.XMATCH(B50&amp;C50, 'User Input'!$B$7:$AAD$7&amp;'User Input'!$B$8:$AAD$8)),"")</f>
        <v/>
      </c>
      <c r="G50" s="8">
        <f>IF(F50="","",F50*1000)</f>
        <v/>
      </c>
      <c r="H50" s="8">
        <f>IF(F50="","",F50*1000*(100%-'User Input'!$B$12))</f>
        <v/>
      </c>
      <c r="I50" s="13">
        <f t="array" ref="I50">IFERROR(INDEX('User Input'!$B$11:$AAD$11, ,_xlfn.XMATCH(B50&amp;C50, 'User Input'!$B$7:$AAD$7&amp;'User Input'!$B$8:$AAD$8)),"")</f>
        <v/>
      </c>
      <c r="J50" s="8">
        <f>IF(I50="","",I50*1000)</f>
        <v/>
      </c>
      <c r="K50">
        <f>DownloadedData!$H48</f>
        <v/>
      </c>
      <c r="L50" s="8">
        <f>IF(AND(E50="",H50="",J50=""),"",(E50+H50+J50)*K50)</f>
        <v/>
      </c>
      <c r="N50" s="8">
        <f>IF(L50="","",(C50*L50*(100%-'User Input'!$B$12))+(C50*J50*K50*'User Input'!$B$12))</f>
        <v/>
      </c>
      <c r="P50" s="13">
        <f>IF(AND(Ladder!A50&gt;='User Input'!B$2, Ladder!A50&lt;='User Input'!C$2),Ladder!A50,"")</f>
        <v/>
      </c>
      <c r="Q50" s="8">
        <f>IF(P50="","", SUMIFS($L$4:$L$89, $B$4:$B$89, "&gt;="&amp;DATE(P50,1,1),$B$4:$B$89,"&lt;"&amp;DATE(P50+1,1,1)))</f>
        <v/>
      </c>
      <c r="R50" s="17">
        <f t="array" ref="R50">IF(P50="","",IFERROR(INDEX('User Input'!$B$5:$DD$5,,_xlfn.XMATCH(P50,'User Input'!$B$4:$DD$4)),'User Input'!$B$3))</f>
        <v/>
      </c>
      <c r="S50" s="8">
        <f>IF(R50="","",(Q50+SUM(N50:N135)-R50))</f>
        <v/>
      </c>
    </row>
    <row r="51">
      <c r="A51" s="13">
        <f>IF(OR(TEXT(B50,"YYYY")&lt;TEXT(B51,"YYYY"),ISBLANK(TEXT(B50,"YYYY"))),YEAR(B51),"")</f>
        <v/>
      </c>
      <c r="B51" s="2">
        <f>DownloadedData!$C49</f>
        <v/>
      </c>
      <c r="C51" s="20">
        <f>DownloadedData!$B49/100</f>
        <v/>
      </c>
      <c r="D51">
        <f t="array" ref="D51"> IFERROR(INDEX('User Input'!$B$9:$AAD$9, ,_xlfn.XMATCH(B51&amp;C51, 'User Input'!$B$7:$AAD$7&amp;'User Input'!$B$8:$AAD$8)),"")</f>
        <v/>
      </c>
      <c r="E51" s="8">
        <f>IF(D51="","",D51*1000)</f>
        <v/>
      </c>
      <c r="F51" s="13">
        <f t="array" ref="F51">IFERROR(INDEX('User Input'!$B$10:$AAD$10, ,_xlfn.XMATCH(B51&amp;C51, 'User Input'!$B$7:$AAD$7&amp;'User Input'!$B$8:$AAD$8)),"")</f>
        <v/>
      </c>
      <c r="G51" s="8">
        <f>IF(F51="","",F51*1000)</f>
        <v/>
      </c>
      <c r="H51" s="8">
        <f>IF(F51="","",F51*1000*(100%-'User Input'!$B$12))</f>
        <v/>
      </c>
      <c r="I51" s="13">
        <f t="array" ref="I51">IFERROR(INDEX('User Input'!$B$11:$AAD$11, ,_xlfn.XMATCH(B51&amp;C51, 'User Input'!$B$7:$AAD$7&amp;'User Input'!$B$8:$AAD$8)),"")</f>
        <v/>
      </c>
      <c r="J51" s="8">
        <f>IF(I51="","",I51*1000)</f>
        <v/>
      </c>
      <c r="K51">
        <f>DownloadedData!$H49</f>
        <v/>
      </c>
      <c r="L51" s="8">
        <f>IF(AND(E51="",H51="",J51=""),"",(E51+H51+J51)*K51)</f>
        <v/>
      </c>
      <c r="N51" s="8">
        <f>IF(L51="","",(C51*L51*(100%-'User Input'!$B$12))+(C51*J51*K51*'User Input'!$B$12))</f>
        <v/>
      </c>
      <c r="P51" s="13">
        <f>IF(AND(Ladder!A51&gt;='User Input'!B$2, Ladder!A51&lt;='User Input'!C$2),Ladder!A51,"")</f>
        <v/>
      </c>
      <c r="Q51" s="8">
        <f>IF(P51="","", SUMIFS($L$4:$L$89, $B$4:$B$89, "&gt;="&amp;DATE(P51,1,1),$B$4:$B$89,"&lt;"&amp;DATE(P51+1,1,1)))</f>
        <v/>
      </c>
      <c r="R51" s="17">
        <f t="array" ref="R51">IF(P51="","",IFERROR(INDEX('User Input'!$B$5:$DD$5,,_xlfn.XMATCH(P51,'User Input'!$B$4:$DD$4)),'User Input'!$B$3))</f>
        <v/>
      </c>
      <c r="S51" s="8">
        <f>IF(R51="","",(Q51+SUM(N51:N136)-R51))</f>
        <v/>
      </c>
    </row>
    <row r="52">
      <c r="A52" s="13">
        <f>IF(OR(TEXT(B51,"YYYY")&lt;TEXT(B52,"YYYY"),ISBLANK(TEXT(B51,"YYYY"))),YEAR(B52),"")</f>
        <v/>
      </c>
      <c r="B52" s="2">
        <f>DownloadedData!$C50</f>
        <v/>
      </c>
      <c r="C52" s="20">
        <f>DownloadedData!$B50/100</f>
        <v/>
      </c>
      <c r="D52">
        <f t="array" ref="D52"> IFERROR(INDEX('User Input'!$B$9:$AAD$9, ,_xlfn.XMATCH(B52&amp;C52, 'User Input'!$B$7:$AAD$7&amp;'User Input'!$B$8:$AAD$8)),"")</f>
        <v/>
      </c>
      <c r="E52" s="8">
        <f>IF(D52="","",D52*1000)</f>
        <v/>
      </c>
      <c r="F52" s="13">
        <f t="array" ref="F52">IFERROR(INDEX('User Input'!$B$10:$AAD$10, ,_xlfn.XMATCH(B52&amp;C52, 'User Input'!$B$7:$AAD$7&amp;'User Input'!$B$8:$AAD$8)),"")</f>
        <v/>
      </c>
      <c r="G52" s="8">
        <f>IF(F52="","",F52*1000)</f>
        <v/>
      </c>
      <c r="H52" s="8">
        <f>IF(F52="","",F52*1000*(100%-'User Input'!$B$12))</f>
        <v/>
      </c>
      <c r="I52" s="13">
        <f t="array" ref="I52">IFERROR(INDEX('User Input'!$B$11:$AAD$11, ,_xlfn.XMATCH(B52&amp;C52, 'User Input'!$B$7:$AAD$7&amp;'User Input'!$B$8:$AAD$8)),"")</f>
        <v/>
      </c>
      <c r="J52" s="8">
        <f>IF(I52="","",I52*1000)</f>
        <v/>
      </c>
      <c r="K52">
        <f>DownloadedData!$H50</f>
        <v/>
      </c>
      <c r="L52" s="8">
        <f>IF(AND(E52="",H52="",J52=""),"",(E52+H52+J52)*K52)</f>
        <v/>
      </c>
      <c r="N52" s="8">
        <f>IF(L52="","",(C52*L52*(100%-'User Input'!$B$12))+(C52*J52*K52*'User Input'!$B$12))</f>
        <v/>
      </c>
      <c r="P52" s="13">
        <f>IF(AND(Ladder!A52&gt;='User Input'!B$2, Ladder!A52&lt;='User Input'!C$2),Ladder!A52,"")</f>
        <v/>
      </c>
      <c r="Q52" s="8">
        <f>IF(P52="","", SUMIFS($L$4:$L$89, $B$4:$B$89, "&gt;="&amp;DATE(P52,1,1),$B$4:$B$89,"&lt;"&amp;DATE(P52+1,1,1)))</f>
        <v/>
      </c>
      <c r="R52" s="17">
        <f t="array" ref="R52">IF(P52="","",IFERROR(INDEX('User Input'!$B$5:$DD$5,,_xlfn.XMATCH(P52,'User Input'!$B$4:$DD$4)),'User Input'!$B$3))</f>
        <v/>
      </c>
      <c r="S52" s="8">
        <f>IF(R52="","",(Q52+SUM(N52:N137)-R52))</f>
        <v/>
      </c>
    </row>
    <row r="53">
      <c r="A53" s="13">
        <f>IF(OR(TEXT(B52,"YYYY")&lt;TEXT(B53,"YYYY"),ISBLANK(TEXT(B52,"YYYY"))),YEAR(B53),"")</f>
        <v/>
      </c>
      <c r="B53" s="2">
        <f>DownloadedData!$C51</f>
        <v/>
      </c>
      <c r="C53" s="20">
        <f>DownloadedData!$B51/100</f>
        <v/>
      </c>
      <c r="D53">
        <f t="array" ref="D53"> IFERROR(INDEX('User Input'!$B$9:$AAD$9, ,_xlfn.XMATCH(B53&amp;C53, 'User Input'!$B$7:$AAD$7&amp;'User Input'!$B$8:$AAD$8)),"")</f>
        <v/>
      </c>
      <c r="E53" s="8">
        <f>IF(D53="","",D53*1000)</f>
        <v/>
      </c>
      <c r="F53" s="13">
        <f t="array" ref="F53">IFERROR(INDEX('User Input'!$B$10:$AAD$10, ,_xlfn.XMATCH(B53&amp;C53, 'User Input'!$B$7:$AAD$7&amp;'User Input'!$B$8:$AAD$8)),"")</f>
        <v/>
      </c>
      <c r="G53" s="8">
        <f>IF(F53="","",F53*1000)</f>
        <v/>
      </c>
      <c r="H53" s="8">
        <f>IF(F53="","",F53*1000*(100%-'User Input'!$B$12))</f>
        <v/>
      </c>
      <c r="I53" s="13">
        <f t="array" ref="I53">IFERROR(INDEX('User Input'!$B$11:$AAD$11, ,_xlfn.XMATCH(B53&amp;C53, 'User Input'!$B$7:$AAD$7&amp;'User Input'!$B$8:$AAD$8)),"")</f>
        <v/>
      </c>
      <c r="J53" s="8">
        <f>IF(I53="","",I53*1000)</f>
        <v/>
      </c>
      <c r="K53">
        <f>DownloadedData!$H51</f>
        <v/>
      </c>
      <c r="L53" s="8">
        <f>IF(AND(E53="",H53="",J53=""),"",(E53+H53+J53)*K53)</f>
        <v/>
      </c>
      <c r="N53" s="8">
        <f>IF(L53="","",(C53*L53*(100%-'User Input'!$B$12))+(C53*J53*K53*'User Input'!$B$12))</f>
        <v/>
      </c>
      <c r="P53" s="13">
        <f>IF(AND(Ladder!A53&gt;='User Input'!B$2, Ladder!A53&lt;='User Input'!C$2),Ladder!A53,"")</f>
        <v/>
      </c>
      <c r="Q53" s="8">
        <f>IF(P53="","", SUMIFS($L$4:$L$89, $B$4:$B$89, "&gt;="&amp;DATE(P53,1,1),$B$4:$B$89,"&lt;"&amp;DATE(P53+1,1,1)))</f>
        <v/>
      </c>
      <c r="R53" s="17">
        <f t="array" ref="R53">IF(P53="","",IFERROR(INDEX('User Input'!$B$5:$DD$5,,_xlfn.XMATCH(P53,'User Input'!$B$4:$DD$4)),'User Input'!$B$3))</f>
        <v/>
      </c>
      <c r="S53" s="8">
        <f>IF(R53="","",(Q53+SUM(N53:N138)-R53))</f>
        <v/>
      </c>
    </row>
    <row r="54">
      <c r="A54" s="13">
        <f>IF(OR(TEXT(B53,"YYYY")&lt;TEXT(B54,"YYYY"),ISBLANK(TEXT(B53,"YYYY"))),YEAR(B54),"")</f>
        <v/>
      </c>
      <c r="B54" s="2">
        <f>DownloadedData!$C52</f>
        <v/>
      </c>
      <c r="C54" s="20">
        <f>DownloadedData!$B52/100</f>
        <v/>
      </c>
      <c r="D54">
        <f t="array" ref="D54"> IFERROR(INDEX('User Input'!$B$9:$AAD$9, ,_xlfn.XMATCH(B54&amp;C54, 'User Input'!$B$7:$AAD$7&amp;'User Input'!$B$8:$AAD$8)),"")</f>
        <v/>
      </c>
      <c r="E54" s="8">
        <f>IF(D54="","",D54*1000)</f>
        <v/>
      </c>
      <c r="F54" s="13">
        <f t="array" ref="F54">IFERROR(INDEX('User Input'!$B$10:$AAD$10, ,_xlfn.XMATCH(B54&amp;C54, 'User Input'!$B$7:$AAD$7&amp;'User Input'!$B$8:$AAD$8)),"")</f>
        <v/>
      </c>
      <c r="G54" s="8">
        <f>IF(F54="","",F54*1000)</f>
        <v/>
      </c>
      <c r="H54" s="8">
        <f>IF(F54="","",F54*1000*(100%-'User Input'!$B$12))</f>
        <v/>
      </c>
      <c r="I54" s="13">
        <f t="array" ref="I54">IFERROR(INDEX('User Input'!$B$11:$AAD$11, ,_xlfn.XMATCH(B54&amp;C54, 'User Input'!$B$7:$AAD$7&amp;'User Input'!$B$8:$AAD$8)),"")</f>
        <v/>
      </c>
      <c r="J54" s="8">
        <f>IF(I54="","",I54*1000)</f>
        <v/>
      </c>
      <c r="K54">
        <f>DownloadedData!$H52</f>
        <v/>
      </c>
      <c r="L54" s="8">
        <f>IF(AND(E54="",H54="",J54=""),"",(E54+H54+J54)*K54)</f>
        <v/>
      </c>
      <c r="N54" s="8">
        <f>IF(L54="","",(C54*L54*(100%-'User Input'!$B$12))+(C54*J54*K54*'User Input'!$B$12))</f>
        <v/>
      </c>
      <c r="P54" s="13">
        <f>IF(AND(Ladder!A54&gt;='User Input'!B$2, Ladder!A54&lt;='User Input'!C$2),Ladder!A54,"")</f>
        <v/>
      </c>
      <c r="Q54" s="8">
        <f>IF(P54="","", SUMIFS($L$4:$L$89, $B$4:$B$89, "&gt;="&amp;DATE(P54,1,1),$B$4:$B$89,"&lt;"&amp;DATE(P54+1,1,1)))</f>
        <v/>
      </c>
      <c r="R54" s="17">
        <f t="array" ref="R54">IF(P54="","",IFERROR(INDEX('User Input'!$B$5:$DD$5,,_xlfn.XMATCH(P54,'User Input'!$B$4:$DD$4)),'User Input'!$B$3))</f>
        <v/>
      </c>
      <c r="S54" s="8">
        <f>IF(R54="","",(Q54+SUM(N54:N139)-R54))</f>
        <v/>
      </c>
    </row>
    <row r="55">
      <c r="A55" s="13">
        <f>IF(OR(TEXT(B54,"YYYY")&lt;TEXT(B55,"YYYY"),ISBLANK(TEXT(B54,"YYYY"))),YEAR(B55),"")</f>
        <v/>
      </c>
      <c r="B55" s="2">
        <f>DownloadedData!$C53</f>
        <v/>
      </c>
      <c r="C55" s="20">
        <f>DownloadedData!$B53/100</f>
        <v/>
      </c>
      <c r="D55">
        <f t="array" ref="D55"> IFERROR(INDEX('User Input'!$B$9:$AAD$9, ,_xlfn.XMATCH(B55&amp;C55, 'User Input'!$B$7:$AAD$7&amp;'User Input'!$B$8:$AAD$8)),"")</f>
        <v/>
      </c>
      <c r="E55" s="8">
        <f>IF(D55="","",D55*1000)</f>
        <v/>
      </c>
      <c r="F55" s="13">
        <f t="array" ref="F55">IFERROR(INDEX('User Input'!$B$10:$AAD$10, ,_xlfn.XMATCH(B55&amp;C55, 'User Input'!$B$7:$AAD$7&amp;'User Input'!$B$8:$AAD$8)),"")</f>
        <v/>
      </c>
      <c r="G55" s="8">
        <f>IF(F55="","",F55*1000)</f>
        <v/>
      </c>
      <c r="H55" s="8">
        <f>IF(F55="","",F55*1000*(100%-'User Input'!$B$12))</f>
        <v/>
      </c>
      <c r="I55" s="13">
        <f t="array" ref="I55">IFERROR(INDEX('User Input'!$B$11:$AAD$11, ,_xlfn.XMATCH(B55&amp;C55, 'User Input'!$B$7:$AAD$7&amp;'User Input'!$B$8:$AAD$8)),"")</f>
        <v/>
      </c>
      <c r="J55" s="8">
        <f>IF(I55="","",I55*1000)</f>
        <v/>
      </c>
      <c r="K55">
        <f>DownloadedData!$H53</f>
        <v/>
      </c>
      <c r="L55" s="8">
        <f>IF(AND(E55="",H55="",J55=""),"",(E55+H55+J55)*K55)</f>
        <v/>
      </c>
      <c r="N55" s="8">
        <f>IF(L55="","",(C55*L55*(100%-'User Input'!$B$12))+(C55*J55*K55*'User Input'!$B$12))</f>
        <v/>
      </c>
      <c r="P55" s="13">
        <f>IF(AND(Ladder!A55&gt;='User Input'!B$2, Ladder!A55&lt;='User Input'!C$2),Ladder!A55,"")</f>
        <v/>
      </c>
      <c r="Q55" s="8">
        <f>IF(P55="","", SUMIFS($L$4:$L$89, $B$4:$B$89, "&gt;="&amp;DATE(P55,1,1),$B$4:$B$89,"&lt;"&amp;DATE(P55+1,1,1)))</f>
        <v/>
      </c>
      <c r="R55" s="17">
        <f t="array" ref="R55">IF(P55="","",IFERROR(INDEX('User Input'!$B$5:$DD$5,,_xlfn.XMATCH(P55,'User Input'!$B$4:$DD$4)),'User Input'!$B$3))</f>
        <v/>
      </c>
      <c r="S55" s="8">
        <f>IF(R55="","",(Q55+SUM(N55:N140)-R55))</f>
        <v/>
      </c>
    </row>
    <row r="56">
      <c r="A56" s="13">
        <f>IF(OR(TEXT(B55,"YYYY")&lt;TEXT(B56,"YYYY"),ISBLANK(TEXT(B55,"YYYY"))),YEAR(B56),"")</f>
        <v/>
      </c>
      <c r="B56" s="2">
        <f>DownloadedData!$C54</f>
        <v/>
      </c>
      <c r="C56" s="20">
        <f>DownloadedData!$B54/100</f>
        <v/>
      </c>
      <c r="D56">
        <f t="array" ref="D56"> IFERROR(INDEX('User Input'!$B$9:$AAD$9, ,_xlfn.XMATCH(B56&amp;C56, 'User Input'!$B$7:$AAD$7&amp;'User Input'!$B$8:$AAD$8)),"")</f>
        <v/>
      </c>
      <c r="E56" s="8">
        <f>IF(D56="","",D56*1000)</f>
        <v/>
      </c>
      <c r="F56" s="13">
        <f t="array" ref="F56">IFERROR(INDEX('User Input'!$B$10:$AAD$10, ,_xlfn.XMATCH(B56&amp;C56, 'User Input'!$B$7:$AAD$7&amp;'User Input'!$B$8:$AAD$8)),"")</f>
        <v/>
      </c>
      <c r="G56" s="8">
        <f>IF(F56="","",F56*1000)</f>
        <v/>
      </c>
      <c r="H56" s="8">
        <f>IF(F56="","",F56*1000*(100%-'User Input'!$B$12))</f>
        <v/>
      </c>
      <c r="I56" s="13">
        <f t="array" ref="I56">IFERROR(INDEX('User Input'!$B$11:$AAD$11, ,_xlfn.XMATCH(B56&amp;C56, 'User Input'!$B$7:$AAD$7&amp;'User Input'!$B$8:$AAD$8)),"")</f>
        <v/>
      </c>
      <c r="J56" s="8">
        <f>IF(I56="","",I56*1000)</f>
        <v/>
      </c>
      <c r="K56">
        <f>DownloadedData!$H54</f>
        <v/>
      </c>
      <c r="L56" s="8">
        <f>IF(AND(E56="",H56="",J56=""),"",(E56+H56+J56)*K56)</f>
        <v/>
      </c>
      <c r="N56" s="8">
        <f>IF(L56="","",(C56*L56*(100%-'User Input'!$B$12))+(C56*J56*K56*'User Input'!$B$12))</f>
        <v/>
      </c>
      <c r="P56" s="13">
        <f>IF(AND(Ladder!A56&gt;='User Input'!B$2, Ladder!A56&lt;='User Input'!C$2),Ladder!A56,"")</f>
        <v/>
      </c>
      <c r="Q56" s="8">
        <f>IF(P56="","", SUMIFS($L$4:$L$89, $B$4:$B$89, "&gt;="&amp;DATE(P56,1,1),$B$4:$B$89,"&lt;"&amp;DATE(P56+1,1,1)))</f>
        <v/>
      </c>
      <c r="R56" s="17">
        <f t="array" ref="R56">IF(P56="","",IFERROR(INDEX('User Input'!$B$5:$DD$5,,_xlfn.XMATCH(P56,'User Input'!$B$4:$DD$4)),'User Input'!$B$3))</f>
        <v/>
      </c>
      <c r="S56" s="8">
        <f>IF(R56="","",(Q56+SUM(N56:N141)-R56))</f>
        <v/>
      </c>
    </row>
    <row r="57">
      <c r="A57" s="13">
        <f>IF(OR(TEXT(B56,"YYYY")&lt;TEXT(B57,"YYYY"),ISBLANK(TEXT(B56,"YYYY"))),YEAR(B57),"")</f>
        <v/>
      </c>
      <c r="B57" s="2">
        <f>DownloadedData!$C55</f>
        <v/>
      </c>
      <c r="C57" s="20">
        <f>DownloadedData!$B55/100</f>
        <v/>
      </c>
      <c r="D57">
        <f t="array" ref="D57"> IFERROR(INDEX('User Input'!$B$9:$AAD$9, ,_xlfn.XMATCH(B57&amp;C57, 'User Input'!$B$7:$AAD$7&amp;'User Input'!$B$8:$AAD$8)),"")</f>
        <v/>
      </c>
      <c r="E57" s="8">
        <f>IF(D57="","",D57*1000)</f>
        <v/>
      </c>
      <c r="F57" s="13">
        <f t="array" ref="F57">IFERROR(INDEX('User Input'!$B$10:$AAD$10, ,_xlfn.XMATCH(B57&amp;C57, 'User Input'!$B$7:$AAD$7&amp;'User Input'!$B$8:$AAD$8)),"")</f>
        <v/>
      </c>
      <c r="G57" s="8">
        <f>IF(F57="","",F57*1000)</f>
        <v/>
      </c>
      <c r="H57" s="8">
        <f>IF(F57="","",F57*1000*(100%-'User Input'!$B$12))</f>
        <v/>
      </c>
      <c r="I57" s="13">
        <f t="array" ref="I57">IFERROR(INDEX('User Input'!$B$11:$AAD$11, ,_xlfn.XMATCH(B57&amp;C57, 'User Input'!$B$7:$AAD$7&amp;'User Input'!$B$8:$AAD$8)),"")</f>
        <v/>
      </c>
      <c r="J57" s="8">
        <f>IF(I57="","",I57*1000)</f>
        <v/>
      </c>
      <c r="K57">
        <f>DownloadedData!$H55</f>
        <v/>
      </c>
      <c r="L57" s="8">
        <f>IF(AND(E57="",H57="",J57=""),"",(E57+H57+J57)*K57)</f>
        <v/>
      </c>
      <c r="N57" s="8">
        <f>IF(L57="","",(C57*L57*(100%-'User Input'!$B$12))+(C57*J57*K57*'User Input'!$B$12))</f>
        <v/>
      </c>
      <c r="P57" s="13">
        <f>IF(AND(Ladder!A57&gt;='User Input'!B$2, Ladder!A57&lt;='User Input'!C$2),Ladder!A57,"")</f>
        <v/>
      </c>
      <c r="Q57" s="8">
        <f>IF(P57="","", SUMIFS($L$4:$L$89, $B$4:$B$89, "&gt;="&amp;DATE(P57,1,1),$B$4:$B$89,"&lt;"&amp;DATE(P57+1,1,1)))</f>
        <v/>
      </c>
      <c r="R57" s="17">
        <f t="array" ref="R57">IF(P57="","",IFERROR(INDEX('User Input'!$B$5:$DD$5,,_xlfn.XMATCH(P57,'User Input'!$B$4:$DD$4)),'User Input'!$B$3))</f>
        <v/>
      </c>
      <c r="S57" s="8">
        <f>IF(R57="","",(Q57+SUM(N57:N142)-R57))</f>
        <v/>
      </c>
    </row>
    <row r="58">
      <c r="A58" s="13">
        <f>IF(OR(TEXT(B57,"YYYY")&lt;TEXT(B58,"YYYY"),ISBLANK(TEXT(B57,"YYYY"))),YEAR(B58),"")</f>
        <v/>
      </c>
      <c r="B58" s="2">
        <f>DownloadedData!$C56</f>
        <v/>
      </c>
      <c r="C58" s="20">
        <f>DownloadedData!$B56/100</f>
        <v/>
      </c>
      <c r="D58">
        <f t="array" ref="D58"> IFERROR(INDEX('User Input'!$B$9:$AAD$9, ,_xlfn.XMATCH(B58&amp;C58, 'User Input'!$B$7:$AAD$7&amp;'User Input'!$B$8:$AAD$8)),"")</f>
        <v/>
      </c>
      <c r="E58" s="8">
        <f>IF(D58="","",D58*1000)</f>
        <v/>
      </c>
      <c r="F58" s="13">
        <f t="array" ref="F58">IFERROR(INDEX('User Input'!$B$10:$AAD$10, ,_xlfn.XMATCH(B58&amp;C58, 'User Input'!$B$7:$AAD$7&amp;'User Input'!$B$8:$AAD$8)),"")</f>
        <v/>
      </c>
      <c r="G58" s="8">
        <f>IF(F58="","",F58*1000)</f>
        <v/>
      </c>
      <c r="H58" s="8">
        <f>IF(F58="","",F58*1000*(100%-'User Input'!$B$12))</f>
        <v/>
      </c>
      <c r="I58" s="13">
        <f t="array" ref="I58">IFERROR(INDEX('User Input'!$B$11:$AAD$11, ,_xlfn.XMATCH(B58&amp;C58, 'User Input'!$B$7:$AAD$7&amp;'User Input'!$B$8:$AAD$8)),"")</f>
        <v/>
      </c>
      <c r="J58" s="8">
        <f>IF(I58="","",I58*1000)</f>
        <v/>
      </c>
      <c r="K58">
        <f>DownloadedData!$H56</f>
        <v/>
      </c>
      <c r="L58" s="8">
        <f>IF(AND(E58="",H58="",J58=""),"",(E58+H58+J58)*K58)</f>
        <v/>
      </c>
      <c r="N58" s="8">
        <f>IF(L58="","",(C58*L58*(100%-'User Input'!$B$12))+(C58*J58*K58*'User Input'!$B$12))</f>
        <v/>
      </c>
      <c r="P58" s="13">
        <f>IF(AND(Ladder!A58&gt;='User Input'!B$2, Ladder!A58&lt;='User Input'!C$2),Ladder!A58,"")</f>
        <v/>
      </c>
      <c r="Q58" s="8">
        <f>IF(P58="","", SUMIFS($L$4:$L$89, $B$4:$B$89, "&gt;="&amp;DATE(P58,1,1),$B$4:$B$89,"&lt;"&amp;DATE(P58+1,1,1)))</f>
        <v/>
      </c>
      <c r="R58" s="17">
        <f t="array" ref="R58">IF(P58="","",IFERROR(INDEX('User Input'!$B$5:$DD$5,,_xlfn.XMATCH(P58,'User Input'!$B$4:$DD$4)),'User Input'!$B$3))</f>
        <v/>
      </c>
      <c r="S58" s="8">
        <f>IF(R58="","",(Q58+SUM(N58:N143)-R58))</f>
        <v/>
      </c>
    </row>
    <row r="59">
      <c r="A59" s="13">
        <f>IF(OR(TEXT(B58,"YYYY")&lt;TEXT(B59,"YYYY"),ISBLANK(TEXT(B58,"YYYY"))),YEAR(B59),"")</f>
        <v/>
      </c>
      <c r="B59" s="2">
        <f>DownloadedData!$C57</f>
        <v/>
      </c>
      <c r="C59" s="20">
        <f>DownloadedData!$B57/100</f>
        <v/>
      </c>
      <c r="D59">
        <f t="array" ref="D59"> IFERROR(INDEX('User Input'!$B$9:$AAD$9, ,_xlfn.XMATCH(B59&amp;C59, 'User Input'!$B$7:$AAD$7&amp;'User Input'!$B$8:$AAD$8)),"")</f>
        <v/>
      </c>
      <c r="E59" s="8">
        <f>IF(D59="","",D59*1000)</f>
        <v/>
      </c>
      <c r="F59" s="13">
        <f t="array" ref="F59">IFERROR(INDEX('User Input'!$B$10:$AAD$10, ,_xlfn.XMATCH(B59&amp;C59, 'User Input'!$B$7:$AAD$7&amp;'User Input'!$B$8:$AAD$8)),"")</f>
        <v/>
      </c>
      <c r="G59" s="8">
        <f>IF(F59="","",F59*1000)</f>
        <v/>
      </c>
      <c r="H59" s="8">
        <f>IF(F59="","",F59*1000*(100%-'User Input'!$B$12))</f>
        <v/>
      </c>
      <c r="I59" s="13">
        <f t="array" ref="I59">IFERROR(INDEX('User Input'!$B$11:$AAD$11, ,_xlfn.XMATCH(B59&amp;C59, 'User Input'!$B$7:$AAD$7&amp;'User Input'!$B$8:$AAD$8)),"")</f>
        <v/>
      </c>
      <c r="J59" s="8">
        <f>IF(I59="","",I59*1000)</f>
        <v/>
      </c>
      <c r="K59">
        <f>DownloadedData!$H57</f>
        <v/>
      </c>
      <c r="L59" s="8">
        <f>IF(AND(E59="",H59="",J59=""),"",(E59+H59+J59)*K59)</f>
        <v/>
      </c>
      <c r="N59" s="8">
        <f>IF(L59="","",(C59*L59*(100%-'User Input'!$B$12))+(C59*J59*K59*'User Input'!$B$12))</f>
        <v/>
      </c>
      <c r="P59" s="13">
        <f>IF(AND(Ladder!A59&gt;='User Input'!B$2, Ladder!A59&lt;='User Input'!C$2),Ladder!A59,"")</f>
        <v/>
      </c>
      <c r="Q59" s="8">
        <f>IF(P59="","", SUMIFS($L$4:$L$89, $B$4:$B$89, "&gt;="&amp;DATE(P59,1,1),$B$4:$B$89,"&lt;"&amp;DATE(P59+1,1,1)))</f>
        <v/>
      </c>
      <c r="R59" s="17">
        <f t="array" ref="R59">IF(P59="","",IFERROR(INDEX('User Input'!$B$5:$DD$5,,_xlfn.XMATCH(P59,'User Input'!$B$4:$DD$4)),'User Input'!$B$3))</f>
        <v/>
      </c>
      <c r="S59" s="8">
        <f>IF(R59="","",(Q59+SUM(N59:N144)-R59))</f>
        <v/>
      </c>
    </row>
    <row r="60">
      <c r="A60" s="13">
        <f>IF(OR(TEXT(B59,"YYYY")&lt;TEXT(B60,"YYYY"),ISBLANK(TEXT(B59,"YYYY"))),YEAR(B60),"")</f>
        <v/>
      </c>
      <c r="B60" s="2">
        <f>DownloadedData!$C58</f>
        <v/>
      </c>
      <c r="C60" s="20">
        <f>DownloadedData!$B58/100</f>
        <v/>
      </c>
      <c r="D60">
        <f t="array" ref="D60"> IFERROR(INDEX('User Input'!$B$9:$AAD$9, ,_xlfn.XMATCH(B60&amp;C60, 'User Input'!$B$7:$AAD$7&amp;'User Input'!$B$8:$AAD$8)),"")</f>
        <v/>
      </c>
      <c r="E60" s="8">
        <f>IF(D60="","",D60*1000)</f>
        <v/>
      </c>
      <c r="F60" s="13">
        <f t="array" ref="F60">IFERROR(INDEX('User Input'!$B$10:$AAD$10, ,_xlfn.XMATCH(B60&amp;C60, 'User Input'!$B$7:$AAD$7&amp;'User Input'!$B$8:$AAD$8)),"")</f>
        <v/>
      </c>
      <c r="G60" s="8">
        <f>IF(F60="","",F60*1000)</f>
        <v/>
      </c>
      <c r="H60" s="8">
        <f>IF(F60="","",F60*1000*(100%-'User Input'!$B$12))</f>
        <v/>
      </c>
      <c r="I60" s="13">
        <f t="array" ref="I60">IFERROR(INDEX('User Input'!$B$11:$AAD$11, ,_xlfn.XMATCH(B60&amp;C60, 'User Input'!$B$7:$AAD$7&amp;'User Input'!$B$8:$AAD$8)),"")</f>
        <v/>
      </c>
      <c r="J60" s="8">
        <f>IF(I60="","",I60*1000)</f>
        <v/>
      </c>
      <c r="K60">
        <f>DownloadedData!$H58</f>
        <v/>
      </c>
      <c r="L60" s="8">
        <f>IF(AND(E60="",H60="",J60=""),"",(E60+H60+J60)*K60)</f>
        <v/>
      </c>
      <c r="N60" s="8">
        <f>IF(L60="","",(C60*L60*(100%-'User Input'!$B$12))+(C60*J60*K60*'User Input'!$B$12))</f>
        <v/>
      </c>
      <c r="P60" s="13">
        <f>IF(AND(Ladder!A60&gt;='User Input'!B$2, Ladder!A60&lt;='User Input'!C$2),Ladder!A60,"")</f>
        <v/>
      </c>
      <c r="Q60" s="8">
        <f>IF(P60="","", SUMIFS($L$4:$L$89, $B$4:$B$89, "&gt;="&amp;DATE(P60,1,1),$B$4:$B$89,"&lt;"&amp;DATE(P60+1,1,1)))</f>
        <v/>
      </c>
      <c r="R60" s="17">
        <f t="array" ref="R60">IF(P60="","",IFERROR(INDEX('User Input'!$B$5:$DD$5,,_xlfn.XMATCH(P60,'User Input'!$B$4:$DD$4)),'User Input'!$B$3))</f>
        <v/>
      </c>
      <c r="S60" s="8">
        <f>IF(R60="","",(Q60+SUM(N60:N145)-R60))</f>
        <v/>
      </c>
    </row>
    <row r="61">
      <c r="A61" s="13">
        <f>IF(OR(TEXT(B60,"YYYY")&lt;TEXT(B61,"YYYY"),ISBLANK(TEXT(B60,"YYYY"))),YEAR(B61),"")</f>
        <v/>
      </c>
      <c r="B61" s="2">
        <f>DownloadedData!$C59</f>
        <v/>
      </c>
      <c r="C61" s="20">
        <f>DownloadedData!$B59/100</f>
        <v/>
      </c>
      <c r="D61">
        <f t="array" ref="D61"> IFERROR(INDEX('User Input'!$B$9:$AAD$9, ,_xlfn.XMATCH(B61&amp;C61, 'User Input'!$B$7:$AAD$7&amp;'User Input'!$B$8:$AAD$8)),"")</f>
        <v/>
      </c>
      <c r="E61" s="8">
        <f>IF(D61="","",D61*1000)</f>
        <v/>
      </c>
      <c r="F61" s="13">
        <f t="array" ref="F61">IFERROR(INDEX('User Input'!$B$10:$AAD$10, ,_xlfn.XMATCH(B61&amp;C61, 'User Input'!$B$7:$AAD$7&amp;'User Input'!$B$8:$AAD$8)),"")</f>
        <v/>
      </c>
      <c r="G61" s="8">
        <f>IF(F61="","",F61*1000)</f>
        <v/>
      </c>
      <c r="H61" s="8">
        <f>IF(F61="","",F61*1000*(100%-'User Input'!$B$12))</f>
        <v/>
      </c>
      <c r="I61" s="13">
        <f t="array" ref="I61">IFERROR(INDEX('User Input'!$B$11:$AAD$11, ,_xlfn.XMATCH(B61&amp;C61, 'User Input'!$B$7:$AAD$7&amp;'User Input'!$B$8:$AAD$8)),"")</f>
        <v/>
      </c>
      <c r="J61" s="8">
        <f>IF(I61="","",I61*1000)</f>
        <v/>
      </c>
      <c r="K61">
        <f>DownloadedData!$H59</f>
        <v/>
      </c>
      <c r="L61" s="8">
        <f>IF(AND(E61="",H61="",J61=""),"",(E61+H61+J61)*K61)</f>
        <v/>
      </c>
      <c r="N61" s="8">
        <f>IF(L61="","",(C61*L61*(100%-'User Input'!$B$12))+(C61*J61*K61*'User Input'!$B$12))</f>
        <v/>
      </c>
      <c r="P61" s="13">
        <f>IF(AND(Ladder!A61&gt;='User Input'!B$2, Ladder!A61&lt;='User Input'!C$2),Ladder!A61,"")</f>
        <v/>
      </c>
      <c r="Q61" s="8">
        <f>IF(P61="","", SUMIFS($L$4:$L$89, $B$4:$B$89, "&gt;="&amp;DATE(P61,1,1),$B$4:$B$89,"&lt;"&amp;DATE(P61+1,1,1)))</f>
        <v/>
      </c>
      <c r="R61" s="17">
        <f t="array" ref="R61">IF(P61="","",IFERROR(INDEX('User Input'!$B$5:$DD$5,,_xlfn.XMATCH(P61,'User Input'!$B$4:$DD$4)),'User Input'!$B$3))</f>
        <v/>
      </c>
      <c r="S61" s="8">
        <f>IF(R61="","",(Q61+SUM(N61:N146)-R61))</f>
        <v/>
      </c>
    </row>
    <row r="62">
      <c r="A62" s="13">
        <f>IF(OR(TEXT(B61,"YYYY")&lt;TEXT(B62,"YYYY"),ISBLANK(TEXT(B61,"YYYY"))),YEAR(B62),"")</f>
        <v/>
      </c>
      <c r="B62" s="2">
        <f>DownloadedData!$C60</f>
        <v/>
      </c>
      <c r="C62" s="20">
        <f>DownloadedData!$B60/100</f>
        <v/>
      </c>
      <c r="D62">
        <f t="array" ref="D62"> IFERROR(INDEX('User Input'!$B$9:$AAD$9, ,_xlfn.XMATCH(B62&amp;C62, 'User Input'!$B$7:$AAD$7&amp;'User Input'!$B$8:$AAD$8)),"")</f>
        <v/>
      </c>
      <c r="E62" s="8">
        <f>IF(D62="","",D62*1000)</f>
        <v/>
      </c>
      <c r="F62" s="13">
        <f t="array" ref="F62">IFERROR(INDEX('User Input'!$B$10:$AAD$10, ,_xlfn.XMATCH(B62&amp;C62, 'User Input'!$B$7:$AAD$7&amp;'User Input'!$B$8:$AAD$8)),"")</f>
        <v/>
      </c>
      <c r="G62" s="8">
        <f>IF(F62="","",F62*1000)</f>
        <v/>
      </c>
      <c r="H62" s="8">
        <f>IF(F62="","",F62*1000*(100%-'User Input'!$B$12))</f>
        <v/>
      </c>
      <c r="I62" s="13">
        <f t="array" ref="I62">IFERROR(INDEX('User Input'!$B$11:$AAD$11, ,_xlfn.XMATCH(B62&amp;C62, 'User Input'!$B$7:$AAD$7&amp;'User Input'!$B$8:$AAD$8)),"")</f>
        <v/>
      </c>
      <c r="J62" s="8">
        <f>IF(I62="","",I62*1000)</f>
        <v/>
      </c>
      <c r="K62">
        <f>DownloadedData!$H60</f>
        <v/>
      </c>
      <c r="L62" s="8">
        <f>IF(AND(E62="",H62="",J62=""),"",(E62+H62+J62)*K62)</f>
        <v/>
      </c>
      <c r="N62" s="8">
        <f>IF(L62="","",(C62*L62*(100%-'User Input'!$B$12))+(C62*J62*K62*'User Input'!$B$12))</f>
        <v/>
      </c>
      <c r="P62" s="13">
        <f>IF(AND(Ladder!A62&gt;='User Input'!B$2, Ladder!A62&lt;='User Input'!C$2),Ladder!A62,"")</f>
        <v/>
      </c>
      <c r="Q62" s="8">
        <f>IF(P62="","", SUMIFS($L$4:$L$89, $B$4:$B$89, "&gt;="&amp;DATE(P62,1,1),$B$4:$B$89,"&lt;"&amp;DATE(P62+1,1,1)))</f>
        <v/>
      </c>
      <c r="R62" s="17">
        <f t="array" ref="R62">IF(P62="","",IFERROR(INDEX('User Input'!$B$5:$DD$5,,_xlfn.XMATCH(P62,'User Input'!$B$4:$DD$4)),'User Input'!$B$3))</f>
        <v/>
      </c>
      <c r="S62" s="8">
        <f>IF(R62="","",(Q62+SUM(N62:N147)-R62))</f>
        <v/>
      </c>
    </row>
    <row r="63">
      <c r="A63" s="13">
        <f>IF(OR(TEXT(B62,"YYYY")&lt;TEXT(B63,"YYYY"),ISBLANK(TEXT(B62,"YYYY"))),YEAR(B63),"")</f>
        <v/>
      </c>
      <c r="B63" s="2">
        <f>DownloadedData!$C61</f>
        <v/>
      </c>
      <c r="C63" s="20">
        <f>DownloadedData!$B61/100</f>
        <v/>
      </c>
      <c r="D63">
        <f t="array" ref="D63"> IFERROR(INDEX('User Input'!$B$9:$AAD$9, ,_xlfn.XMATCH(B63&amp;C63, 'User Input'!$B$7:$AAD$7&amp;'User Input'!$B$8:$AAD$8)),"")</f>
        <v/>
      </c>
      <c r="E63" s="8">
        <f>IF(D63="","",D63*1000)</f>
        <v/>
      </c>
      <c r="F63" s="13">
        <f t="array" ref="F63">IFERROR(INDEX('User Input'!$B$10:$AAD$10, ,_xlfn.XMATCH(B63&amp;C63, 'User Input'!$B$7:$AAD$7&amp;'User Input'!$B$8:$AAD$8)),"")</f>
        <v/>
      </c>
      <c r="G63" s="8">
        <f>IF(F63="","",F63*1000)</f>
        <v/>
      </c>
      <c r="H63" s="8">
        <f>IF(F63="","",F63*1000*(100%-'User Input'!$B$12))</f>
        <v/>
      </c>
      <c r="I63" s="13">
        <f t="array" ref="I63">IFERROR(INDEX('User Input'!$B$11:$AAD$11, ,_xlfn.XMATCH(B63&amp;C63, 'User Input'!$B$7:$AAD$7&amp;'User Input'!$B$8:$AAD$8)),"")</f>
        <v/>
      </c>
      <c r="J63" s="8">
        <f>IF(I63="","",I63*1000)</f>
        <v/>
      </c>
      <c r="K63">
        <f>DownloadedData!$H61</f>
        <v/>
      </c>
      <c r="L63" s="8">
        <f>IF(AND(E63="",H63="",J63=""),"",(E63+H63+J63)*K63)</f>
        <v/>
      </c>
      <c r="N63" s="8">
        <f>IF(L63="","",(C63*L63*(100%-'User Input'!$B$12))+(C63*J63*K63*'User Input'!$B$12))</f>
        <v/>
      </c>
      <c r="P63" s="13">
        <f>IF(AND(Ladder!A63&gt;='User Input'!B$2, Ladder!A63&lt;='User Input'!C$2),Ladder!A63,"")</f>
        <v/>
      </c>
      <c r="Q63" s="8">
        <f>IF(P63="","", SUMIFS($L$4:$L$89, $B$4:$B$89, "&gt;="&amp;DATE(P63,1,1),$B$4:$B$89,"&lt;"&amp;DATE(P63+1,1,1)))</f>
        <v/>
      </c>
      <c r="R63" s="17">
        <f t="array" ref="R63">IF(P63="","",IFERROR(INDEX('User Input'!$B$5:$DD$5,,_xlfn.XMATCH(P63,'User Input'!$B$4:$DD$4)),'User Input'!$B$3))</f>
        <v/>
      </c>
      <c r="S63" s="8">
        <f>IF(R63="","",(Q63+SUM(N63:N148)-R63))</f>
        <v/>
      </c>
    </row>
    <row r="64">
      <c r="A64" s="13">
        <f>IF(OR(TEXT(B63,"YYYY")&lt;TEXT(B64,"YYYY"),ISBLANK(TEXT(B63,"YYYY"))),YEAR(B64),"")</f>
        <v/>
      </c>
      <c r="B64" s="2">
        <f>DownloadedData!$C62</f>
        <v/>
      </c>
      <c r="C64" s="20">
        <f>DownloadedData!$B62/100</f>
        <v/>
      </c>
      <c r="D64">
        <f t="array" ref="D64"> IFERROR(INDEX('User Input'!$B$9:$AAD$9, ,_xlfn.XMATCH(B64&amp;C64, 'User Input'!$B$7:$AAD$7&amp;'User Input'!$B$8:$AAD$8)),"")</f>
        <v/>
      </c>
      <c r="E64" s="8">
        <f>IF(D64="","",D64*1000)</f>
        <v/>
      </c>
      <c r="F64" s="13">
        <f t="array" ref="F64">IFERROR(INDEX('User Input'!$B$10:$AAD$10, ,_xlfn.XMATCH(B64&amp;C64, 'User Input'!$B$7:$AAD$7&amp;'User Input'!$B$8:$AAD$8)),"")</f>
        <v/>
      </c>
      <c r="G64" s="8">
        <f>IF(F64="","",F64*1000)</f>
        <v/>
      </c>
      <c r="H64" s="8">
        <f>IF(F64="","",F64*1000*(100%-'User Input'!$B$12))</f>
        <v/>
      </c>
      <c r="I64" s="13">
        <f t="array" ref="I64">IFERROR(INDEX('User Input'!$B$11:$AAD$11, ,_xlfn.XMATCH(B64&amp;C64, 'User Input'!$B$7:$AAD$7&amp;'User Input'!$B$8:$AAD$8)),"")</f>
        <v/>
      </c>
      <c r="J64" s="8">
        <f>IF(I64="","",I64*1000)</f>
        <v/>
      </c>
      <c r="K64">
        <f>DownloadedData!$H62</f>
        <v/>
      </c>
      <c r="L64" s="8">
        <f>IF(AND(E64="",H64="",J64=""),"",(E64+H64+J64)*K64)</f>
        <v/>
      </c>
      <c r="N64" s="8">
        <f>IF(L64="","",(C64*L64*(100%-'User Input'!$B$12))+(C64*J64*K64*'User Input'!$B$12))</f>
        <v/>
      </c>
      <c r="P64" s="13">
        <f>IF(AND(Ladder!A64&gt;='User Input'!B$2, Ladder!A64&lt;='User Input'!C$2),Ladder!A64,"")</f>
        <v/>
      </c>
      <c r="Q64" s="8">
        <f>IF(P64="","", SUMIFS($L$4:$L$89, $B$4:$B$89, "&gt;="&amp;DATE(P64,1,1),$B$4:$B$89,"&lt;"&amp;DATE(P64+1,1,1)))</f>
        <v/>
      </c>
      <c r="R64" s="17">
        <f t="array" ref="R64">IF(P64="","",IFERROR(INDEX('User Input'!$B$5:$DD$5,,_xlfn.XMATCH(P64,'User Input'!$B$4:$DD$4)),'User Input'!$B$3))</f>
        <v/>
      </c>
      <c r="S64" s="8">
        <f>IF(R64="","",(Q64+SUM(N64:N149)-R64))</f>
        <v/>
      </c>
    </row>
    <row r="65">
      <c r="A65" s="13">
        <f>IF(OR(TEXT(B64,"YYYY")&lt;TEXT(B65,"YYYY"),ISBLANK(TEXT(B64,"YYYY"))),YEAR(B65),"")</f>
        <v/>
      </c>
      <c r="B65" s="2">
        <f>DownloadedData!$C63</f>
        <v/>
      </c>
      <c r="C65" s="20">
        <f>DownloadedData!$B63/100</f>
        <v/>
      </c>
      <c r="D65">
        <f t="array" ref="D65"> IFERROR(INDEX('User Input'!$B$9:$AAD$9, ,_xlfn.XMATCH(B65&amp;C65, 'User Input'!$B$7:$AAD$7&amp;'User Input'!$B$8:$AAD$8)),"")</f>
        <v/>
      </c>
      <c r="E65" s="8">
        <f>IF(D65="","",D65*1000)</f>
        <v/>
      </c>
      <c r="F65" s="13">
        <f t="array" ref="F65">IFERROR(INDEX('User Input'!$B$10:$AAD$10, ,_xlfn.XMATCH(B65&amp;C65, 'User Input'!$B$7:$AAD$7&amp;'User Input'!$B$8:$AAD$8)),"")</f>
        <v/>
      </c>
      <c r="G65" s="8">
        <f>IF(F65="","",F65*1000)</f>
        <v/>
      </c>
      <c r="H65" s="8">
        <f>IF(F65="","",F65*1000*(100%-'User Input'!$B$12))</f>
        <v/>
      </c>
      <c r="I65" s="13">
        <f t="array" ref="I65">IFERROR(INDEX('User Input'!$B$11:$AAD$11, ,_xlfn.XMATCH(B65&amp;C65, 'User Input'!$B$7:$AAD$7&amp;'User Input'!$B$8:$AAD$8)),"")</f>
        <v/>
      </c>
      <c r="J65" s="8">
        <f>IF(I65="","",I65*1000)</f>
        <v/>
      </c>
      <c r="K65">
        <f>DownloadedData!$H63</f>
        <v/>
      </c>
      <c r="L65" s="8">
        <f>IF(AND(E65="",H65="",J65=""),"",(E65+H65+J65)*K65)</f>
        <v/>
      </c>
      <c r="N65" s="8">
        <f>IF(L65="","",(C65*L65*(100%-'User Input'!$B$12))+(C65*J65*K65*'User Input'!$B$12))</f>
        <v/>
      </c>
      <c r="P65" s="13">
        <f>IF(AND(Ladder!A65&gt;='User Input'!B$2, Ladder!A65&lt;='User Input'!C$2),Ladder!A65,"")</f>
        <v/>
      </c>
      <c r="Q65" s="8">
        <f>IF(P65="","", SUMIFS($L$4:$L$89, $B$4:$B$89, "&gt;="&amp;DATE(P65,1,1),$B$4:$B$89,"&lt;"&amp;DATE(P65+1,1,1)))</f>
        <v/>
      </c>
      <c r="R65" s="17">
        <f t="array" ref="R65">IF(P65="","",IFERROR(INDEX('User Input'!$B$5:$DD$5,,_xlfn.XMATCH(P65,'User Input'!$B$4:$DD$4)),'User Input'!$B$3))</f>
        <v/>
      </c>
      <c r="S65" s="8">
        <f>IF(R65="","",(Q65+SUM(N65:N150)-R65))</f>
        <v/>
      </c>
    </row>
    <row r="66">
      <c r="A66" s="13">
        <f>IF(OR(TEXT(B65,"YYYY")&lt;TEXT(B66,"YYYY"),ISBLANK(TEXT(B65,"YYYY"))),YEAR(B66),"")</f>
        <v/>
      </c>
      <c r="B66" s="2">
        <f>DownloadedData!$C64</f>
        <v/>
      </c>
      <c r="C66" s="20">
        <f>DownloadedData!$B64/100</f>
        <v/>
      </c>
      <c r="D66">
        <f t="array" ref="D66"> IFERROR(INDEX('User Input'!$B$9:$AAD$9, ,_xlfn.XMATCH(B66&amp;C66, 'User Input'!$B$7:$AAD$7&amp;'User Input'!$B$8:$AAD$8)),"")</f>
        <v/>
      </c>
      <c r="E66" s="8">
        <f>IF(D66="","",D66*1000)</f>
        <v/>
      </c>
      <c r="F66" s="13">
        <f t="array" ref="F66">IFERROR(INDEX('User Input'!$B$10:$AAD$10, ,_xlfn.XMATCH(B66&amp;C66, 'User Input'!$B$7:$AAD$7&amp;'User Input'!$B$8:$AAD$8)),"")</f>
        <v/>
      </c>
      <c r="G66" s="8">
        <f>IF(F66="","",F66*1000)</f>
        <v/>
      </c>
      <c r="H66" s="8">
        <f>IF(F66="","",F66*1000*(100%-'User Input'!$B$12))</f>
        <v/>
      </c>
      <c r="I66" s="13">
        <f t="array" ref="I66">IFERROR(INDEX('User Input'!$B$11:$AAD$11, ,_xlfn.XMATCH(B66&amp;C66, 'User Input'!$B$7:$AAD$7&amp;'User Input'!$B$8:$AAD$8)),"")</f>
        <v/>
      </c>
      <c r="J66" s="8">
        <f>IF(I66="","",I66*1000)</f>
        <v/>
      </c>
      <c r="K66">
        <f>DownloadedData!$H64</f>
        <v/>
      </c>
      <c r="L66" s="8">
        <f>IF(AND(E66="",H66="",J66=""),"",(E66+H66+J66)*K66)</f>
        <v/>
      </c>
      <c r="N66" s="8">
        <f>IF(L66="","",(C66*L66*(100%-'User Input'!$B$12))+(C66*J66*K66*'User Input'!$B$12))</f>
        <v/>
      </c>
      <c r="P66" s="13">
        <f>IF(AND(Ladder!A66&gt;='User Input'!B$2, Ladder!A66&lt;='User Input'!C$2),Ladder!A66,"")</f>
        <v/>
      </c>
      <c r="Q66" s="8">
        <f>IF(P66="","", SUMIFS($L$4:$L$89, $B$4:$B$89, "&gt;="&amp;DATE(P66,1,1),$B$4:$B$89,"&lt;"&amp;DATE(P66+1,1,1)))</f>
        <v/>
      </c>
      <c r="R66" s="17">
        <f t="array" ref="R66">IF(P66="","",IFERROR(INDEX('User Input'!$B$5:$DD$5,,_xlfn.XMATCH(P66,'User Input'!$B$4:$DD$4)),'User Input'!$B$3))</f>
        <v/>
      </c>
      <c r="S66" s="8">
        <f>IF(R66="","",(Q66+SUM(N66:N151)-R66))</f>
        <v/>
      </c>
    </row>
    <row r="67">
      <c r="A67" s="13" t="n"/>
      <c r="J67" s="8">
        <f>IF(I67="","",I67*1000)</f>
        <v/>
      </c>
      <c r="L67" s="8">
        <f>IF(AND(E67="",H67="",J67=""),"",(E67+H67+J67)*K67)</f>
        <v/>
      </c>
      <c r="N67" s="8">
        <f>IF(L67="","",(C67*L67*(100%-'User Input'!$B$12))+(C67*J67*K67*'User Input'!$B$12))</f>
        <v/>
      </c>
      <c r="P67" s="13" t="n"/>
    </row>
    <row r="68">
      <c r="A68" s="13" t="n"/>
      <c r="J68" s="8">
        <f>IF(I68="","",I68*1000)</f>
        <v/>
      </c>
      <c r="L68" s="8">
        <f>IF(AND(E68="",H68="",J68=""),"",(E68+H68+J68)*K68)</f>
        <v/>
      </c>
      <c r="N68" s="8">
        <f>IF(L68="","",(C68*L68*(100%-'User Input'!$B$12))+(C68*J68*K68*'User Input'!$B$12))</f>
        <v/>
      </c>
      <c r="P68" s="13" t="n"/>
    </row>
    <row r="69">
      <c r="A69" s="13" t="n"/>
      <c r="J69" s="8">
        <f>IF(I69="","",I69*1000)</f>
        <v/>
      </c>
      <c r="P69" s="13" t="n"/>
    </row>
    <row r="70">
      <c r="A70" s="13" t="n"/>
      <c r="J70" s="8">
        <f>IF(I70="","",I70*1000)</f>
        <v/>
      </c>
      <c r="P70" s="13" t="n"/>
    </row>
    <row r="71">
      <c r="A71" s="13" t="n"/>
      <c r="J71" s="8">
        <f>IF(I71="","",I71*1000)</f>
        <v/>
      </c>
      <c r="P71" s="13" t="n"/>
    </row>
    <row r="72">
      <c r="A72" s="13" t="n"/>
      <c r="J72" s="8">
        <f>IF(I72="","",I72*1000)</f>
        <v/>
      </c>
      <c r="P72" s="13" t="n"/>
    </row>
    <row r="73">
      <c r="A73" s="13" t="n"/>
      <c r="J73" s="8">
        <f>IF(I73="","",I73*1000)</f>
        <v/>
      </c>
      <c r="P73" s="13" t="n"/>
    </row>
    <row r="74">
      <c r="A74" s="13" t="n"/>
      <c r="J74" s="8">
        <f>IF(I74="","",I74*1000)</f>
        <v/>
      </c>
      <c r="P74" s="13" t="n"/>
    </row>
    <row r="75">
      <c r="A75" s="13" t="n"/>
      <c r="J75" s="8">
        <f>IF(I75="","",I75*1000)</f>
        <v/>
      </c>
      <c r="P75" s="13" t="n"/>
    </row>
    <row r="76">
      <c r="A76" s="13" t="n"/>
      <c r="J76" s="8">
        <f>IF(I76="","",I76*1000)</f>
        <v/>
      </c>
      <c r="P76" s="13" t="n"/>
    </row>
    <row r="77">
      <c r="A77" s="13" t="n"/>
      <c r="J77" s="8">
        <f>IF(I77="","",I77*1000)</f>
        <v/>
      </c>
      <c r="P77" s="13" t="n"/>
    </row>
    <row r="78">
      <c r="A78" s="13" t="n"/>
      <c r="J78" s="8">
        <f>IF(I78="","",I78*1000)</f>
        <v/>
      </c>
      <c r="P78" s="13" t="n"/>
    </row>
    <row r="79">
      <c r="A79" s="13" t="n"/>
      <c r="J79" s="8">
        <f>IF(I79="","",I79*1000)</f>
        <v/>
      </c>
      <c r="P79" s="13" t="n"/>
    </row>
    <row r="80">
      <c r="A80" s="13" t="n"/>
      <c r="J80" s="8">
        <f>IF(I80="","",I80*1000)</f>
        <v/>
      </c>
      <c r="P80" s="13" t="n"/>
    </row>
    <row r="81">
      <c r="A81" s="13" t="n"/>
      <c r="J81" s="8">
        <f>IF(I81="","",I81*1000)</f>
        <v/>
      </c>
    </row>
    <row r="82">
      <c r="A82" s="13" t="n"/>
      <c r="J82" s="8">
        <f>IF(I82="","",I82*1000)</f>
        <v/>
      </c>
    </row>
    <row r="83">
      <c r="A83" s="13" t="n"/>
      <c r="J83" s="8">
        <f>IF(I83="","",I83*1000)</f>
        <v/>
      </c>
    </row>
    <row r="84">
      <c r="A84" s="13" t="n"/>
      <c r="J84" s="8">
        <f>IF(I84="","",I84*1000)</f>
        <v/>
      </c>
    </row>
    <row r="85">
      <c r="A85" s="13" t="n"/>
      <c r="J85" s="8">
        <f>IF(I85="","",I85*1000)</f>
        <v/>
      </c>
    </row>
    <row r="86">
      <c r="A86" s="13" t="n"/>
      <c r="J86" s="8">
        <f>IF(I86="","",I86*1000)</f>
        <v/>
      </c>
    </row>
    <row r="87">
      <c r="A87" s="13" t="n"/>
      <c r="J87" s="8">
        <f>IF(I87="","",I87*1000)</f>
        <v/>
      </c>
    </row>
    <row r="88">
      <c r="A88" s="13" t="n"/>
      <c r="J88" s="8">
        <f>IF(I88="","",I88*1000)</f>
        <v/>
      </c>
    </row>
  </sheetData>
  <conditionalFormatting sqref="S4:S90">
    <cfRule type="cellIs" priority="1" operator="lessThan" dxfId="1">
      <formula>0</formula>
    </cfRule>
    <cfRule type="cellIs" priority="2" operator="greaterThan" dxfId="0">
      <formula>0</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L53"/>
  <sheetViews>
    <sheetView workbookViewId="0">
      <selection activeCell="A1" sqref="A1"/>
    </sheetView>
  </sheetViews>
  <sheetFormatPr baseColWidth="8" defaultRowHeight="15"/>
  <sheetData>
    <row r="1">
      <c r="A1" s="25" t="inlineStr">
        <is>
          <t>Cusip</t>
        </is>
      </c>
      <c r="B1" s="25" t="inlineStr">
        <is>
          <t>Coupon</t>
        </is>
      </c>
      <c r="C1" s="25" t="inlineStr">
        <is>
          <t>Maturity Date</t>
        </is>
      </c>
      <c r="D1" s="25" t="inlineStr">
        <is>
          <t>Term</t>
        </is>
      </c>
      <c r="E1" s="25" t="inlineStr">
        <is>
          <t>Series</t>
        </is>
      </c>
      <c r="F1" s="25" t="inlineStr">
        <is>
          <t>Issue Date</t>
        </is>
      </c>
      <c r="G1" s="25" t="inlineStr">
        <is>
          <t>Dated date CPI-U</t>
        </is>
      </c>
      <c r="H1" s="25" t="inlineStr">
        <is>
          <t>Inflation Factor</t>
        </is>
      </c>
      <c r="I1" s="25" t="inlineStr">
        <is>
          <t>Inflation Date</t>
        </is>
      </c>
      <c r="J1" s="25" t="inlineStr">
        <is>
          <t>Adjusted Principal</t>
        </is>
      </c>
      <c r="K1" s="25" t="inlineStr">
        <is>
          <t>Current CPIU</t>
        </is>
      </c>
      <c r="L1" s="25" t="inlineStr">
        <is>
          <t>Calculated Inflation Factor</t>
        </is>
      </c>
    </row>
    <row r="2">
      <c r="A2" t="inlineStr">
        <is>
          <t>91282CCA7</t>
        </is>
      </c>
      <c r="B2" t="inlineStr">
        <is>
          <t>0.125000</t>
        </is>
      </c>
      <c r="C2" t="inlineStr">
        <is>
          <t>2026-04-15</t>
        </is>
      </c>
      <c r="D2" t="inlineStr">
        <is>
          <t>5-Year</t>
        </is>
      </c>
      <c r="E2" t="inlineStr">
        <is>
          <t>X-2026</t>
        </is>
      </c>
      <c r="F2" t="inlineStr">
        <is>
          <t>2021-04-30</t>
        </is>
      </c>
      <c r="G2" t="inlineStr">
        <is>
          <t>262.250270</t>
        </is>
      </c>
      <c r="H2" t="inlineStr">
        <is>
          <t>1.23640</t>
        </is>
      </c>
      <c r="I2" t="inlineStr">
        <is>
          <t>2026-03-06</t>
        </is>
      </c>
      <c r="J2" t="n">
        <v>1236.4</v>
      </c>
      <c r="K2" t="n">
        <v>324.2472258064516</v>
      </c>
      <c r="L2" t="n">
        <v>1.2364</v>
      </c>
    </row>
    <row r="3">
      <c r="A3" t="inlineStr">
        <is>
          <t>912828S50</t>
        </is>
      </c>
      <c r="B3" t="inlineStr">
        <is>
          <t>0.125000</t>
        </is>
      </c>
      <c r="C3" t="inlineStr">
        <is>
          <t>2026-07-15</t>
        </is>
      </c>
      <c r="D3" t="inlineStr">
        <is>
          <t>10-Year</t>
        </is>
      </c>
      <c r="E3" t="inlineStr">
        <is>
          <t>D-2026</t>
        </is>
      </c>
      <c r="F3" t="inlineStr">
        <is>
          <t>2016-07-29</t>
        </is>
      </c>
      <c r="G3" t="inlineStr">
        <is>
          <t>239.701320</t>
        </is>
      </c>
      <c r="H3" t="inlineStr">
        <is>
          <t>1.35271</t>
        </is>
      </c>
      <c r="I3" t="inlineStr">
        <is>
          <t>2026-03-06</t>
        </is>
      </c>
      <c r="J3" t="n">
        <v>1352.71</v>
      </c>
      <c r="K3" t="n">
        <v>324.2472258064516</v>
      </c>
      <c r="L3" t="n">
        <v>1.35271</v>
      </c>
    </row>
    <row r="4">
      <c r="A4" t="inlineStr">
        <is>
          <t>91282CDC2</t>
        </is>
      </c>
      <c r="B4" t="inlineStr">
        <is>
          <t>0.125000</t>
        </is>
      </c>
      <c r="C4" t="inlineStr">
        <is>
          <t>2026-10-15</t>
        </is>
      </c>
      <c r="D4" t="inlineStr">
        <is>
          <t>5-Year</t>
        </is>
      </c>
      <c r="E4" t="inlineStr">
        <is>
          <t>AE-2026</t>
        </is>
      </c>
      <c r="F4" t="inlineStr">
        <is>
          <t>2021-10-29</t>
        </is>
      </c>
      <c r="G4" t="inlineStr">
        <is>
          <t>273.257710</t>
        </is>
      </c>
      <c r="H4" t="inlineStr">
        <is>
          <t>1.18660</t>
        </is>
      </c>
      <c r="I4" t="inlineStr">
        <is>
          <t>2026-03-06</t>
        </is>
      </c>
      <c r="J4" t="n">
        <v>1186.6</v>
      </c>
      <c r="K4" t="n">
        <v>324.2472258064516</v>
      </c>
      <c r="L4" t="n">
        <v>1.1866</v>
      </c>
    </row>
    <row r="5">
      <c r="A5" t="inlineStr">
        <is>
          <t>912810PS1</t>
        </is>
      </c>
      <c r="B5" t="inlineStr">
        <is>
          <t>2.375000</t>
        </is>
      </c>
      <c r="C5" t="inlineStr">
        <is>
          <t>2027-01-15</t>
        </is>
      </c>
      <c r="D5" t="inlineStr">
        <is>
          <t>20-Year</t>
        </is>
      </c>
      <c r="E5" t="inlineStr">
        <is>
          <t>TIPS of January 2027</t>
        </is>
      </c>
      <c r="F5" t="inlineStr">
        <is>
          <t>2007-01-31</t>
        </is>
      </c>
      <c r="G5" t="inlineStr">
        <is>
          <t>201.664520</t>
        </is>
      </c>
      <c r="H5" t="inlineStr">
        <is>
          <t>1.60785</t>
        </is>
      </c>
      <c r="I5" t="inlineStr">
        <is>
          <t>2026-03-06</t>
        </is>
      </c>
      <c r="J5" t="n">
        <v>1607.85</v>
      </c>
      <c r="K5" t="n">
        <v>324.2472258064516</v>
      </c>
      <c r="L5" t="n">
        <v>1.60785</v>
      </c>
    </row>
    <row r="6">
      <c r="A6" t="inlineStr">
        <is>
          <t>912828V49</t>
        </is>
      </c>
      <c r="B6" t="inlineStr">
        <is>
          <t>0.375000</t>
        </is>
      </c>
      <c r="C6" t="inlineStr">
        <is>
          <t>2027-01-15</t>
        </is>
      </c>
      <c r="D6" t="inlineStr">
        <is>
          <t>10-Year</t>
        </is>
      </c>
      <c r="E6" t="inlineStr">
        <is>
          <t>A-2027</t>
        </is>
      </c>
      <c r="F6" t="inlineStr">
        <is>
          <t>2017-01-31</t>
        </is>
      </c>
      <c r="G6" t="inlineStr">
        <is>
          <t>241.559190</t>
        </is>
      </c>
      <c r="H6" t="inlineStr">
        <is>
          <t>1.34231</t>
        </is>
      </c>
      <c r="I6" t="inlineStr">
        <is>
          <t>2026-03-06</t>
        </is>
      </c>
      <c r="J6" t="n">
        <v>1342.31</v>
      </c>
      <c r="K6" t="n">
        <v>324.2472258064516</v>
      </c>
      <c r="L6" t="n">
        <v>1.34231</v>
      </c>
    </row>
    <row r="7">
      <c r="A7" t="inlineStr">
        <is>
          <t>91282CEJ6</t>
        </is>
      </c>
      <c r="B7" t="inlineStr">
        <is>
          <t>0.125000</t>
        </is>
      </c>
      <c r="C7" t="inlineStr">
        <is>
          <t>2027-04-15</t>
        </is>
      </c>
      <c r="D7" t="inlineStr">
        <is>
          <t>5-Year</t>
        </is>
      </c>
      <c r="E7" t="inlineStr">
        <is>
          <t>X-2027</t>
        </is>
      </c>
      <c r="F7" t="inlineStr">
        <is>
          <t>2022-04-29</t>
        </is>
      </c>
      <c r="G7" t="inlineStr">
        <is>
          <t>282.346400</t>
        </is>
      </c>
      <c r="H7" t="inlineStr">
        <is>
          <t>1.14840</t>
        </is>
      </c>
      <c r="I7" t="inlineStr">
        <is>
          <t>2026-03-06</t>
        </is>
      </c>
      <c r="J7" t="n">
        <v>1148.4</v>
      </c>
      <c r="K7" t="n">
        <v>324.2472258064516</v>
      </c>
      <c r="L7" t="n">
        <v>1.1484</v>
      </c>
    </row>
    <row r="8">
      <c r="A8" t="inlineStr">
        <is>
          <t>9128282L3</t>
        </is>
      </c>
      <c r="B8" t="inlineStr">
        <is>
          <t>0.375000</t>
        </is>
      </c>
      <c r="C8" t="inlineStr">
        <is>
          <t>2027-07-15</t>
        </is>
      </c>
      <c r="D8" t="inlineStr">
        <is>
          <t>10-Year</t>
        </is>
      </c>
      <c r="E8" t="inlineStr">
        <is>
          <t>D-2027</t>
        </is>
      </c>
      <c r="F8" t="inlineStr">
        <is>
          <t>2017-07-31</t>
        </is>
      </c>
      <c r="G8" t="inlineStr">
        <is>
          <t>244.618390</t>
        </is>
      </c>
      <c r="H8" t="inlineStr">
        <is>
          <t>1.32552</t>
        </is>
      </c>
      <c r="I8" t="inlineStr">
        <is>
          <t>2026-03-06</t>
        </is>
      </c>
      <c r="J8" t="n">
        <v>1325.52</v>
      </c>
      <c r="K8" t="n">
        <v>324.2472258064516</v>
      </c>
      <c r="L8" t="n">
        <v>1.32552</v>
      </c>
    </row>
    <row r="9">
      <c r="A9" t="inlineStr">
        <is>
          <t>91282CFR7</t>
        </is>
      </c>
      <c r="B9" t="inlineStr">
        <is>
          <t>1.625000</t>
        </is>
      </c>
      <c r="C9" t="inlineStr">
        <is>
          <t>2027-10-15</t>
        </is>
      </c>
      <c r="D9" t="inlineStr">
        <is>
          <t>5-Year</t>
        </is>
      </c>
      <c r="E9" t="inlineStr">
        <is>
          <t>AE-2027</t>
        </is>
      </c>
      <c r="F9" t="inlineStr">
        <is>
          <t>2022-10-31</t>
        </is>
      </c>
      <c r="G9" t="inlineStr">
        <is>
          <t>296.228580</t>
        </is>
      </c>
      <c r="H9" t="inlineStr">
        <is>
          <t>1.09458</t>
        </is>
      </c>
      <c r="I9" t="inlineStr">
        <is>
          <t>2026-03-06</t>
        </is>
      </c>
      <c r="J9" t="n">
        <v>1094.58</v>
      </c>
      <c r="K9" t="n">
        <v>324.2472258064516</v>
      </c>
      <c r="L9" t="n">
        <v>1.09458</v>
      </c>
    </row>
    <row r="10">
      <c r="A10" t="inlineStr">
        <is>
          <t>912810PV4</t>
        </is>
      </c>
      <c r="B10" t="inlineStr">
        <is>
          <t>1.750000</t>
        </is>
      </c>
      <c r="C10" t="inlineStr">
        <is>
          <t>2028-01-15</t>
        </is>
      </c>
      <c r="D10" t="inlineStr">
        <is>
          <t>20-Year</t>
        </is>
      </c>
      <c r="E10" t="inlineStr">
        <is>
          <t>TIPS of January 2028</t>
        </is>
      </c>
      <c r="F10" t="inlineStr">
        <is>
          <t>2008-01-31</t>
        </is>
      </c>
      <c r="G10" t="inlineStr">
        <is>
          <t>209.496450</t>
        </is>
      </c>
      <c r="H10" t="inlineStr">
        <is>
          <t>1.54775</t>
        </is>
      </c>
      <c r="I10" t="inlineStr">
        <is>
          <t>2026-03-06</t>
        </is>
      </c>
      <c r="J10" t="n">
        <v>1547.75</v>
      </c>
      <c r="K10" t="n">
        <v>324.2472258064516</v>
      </c>
      <c r="L10" t="n">
        <v>1.54775</v>
      </c>
    </row>
    <row r="11">
      <c r="A11" t="inlineStr">
        <is>
          <t>9128283R9</t>
        </is>
      </c>
      <c r="B11" t="inlineStr">
        <is>
          <t>0.500000</t>
        </is>
      </c>
      <c r="C11" t="inlineStr">
        <is>
          <t>2028-01-15</t>
        </is>
      </c>
      <c r="D11" t="inlineStr">
        <is>
          <t>10-Year</t>
        </is>
      </c>
      <c r="E11" t="inlineStr">
        <is>
          <t>A-2028</t>
        </is>
      </c>
      <c r="F11" t="inlineStr">
        <is>
          <t>2018-01-31</t>
        </is>
      </c>
      <c r="G11" t="inlineStr">
        <is>
          <t>246.665710</t>
        </is>
      </c>
      <c r="H11" t="inlineStr">
        <is>
          <t>1.31452</t>
        </is>
      </c>
      <c r="I11" t="inlineStr">
        <is>
          <t>2026-03-06</t>
        </is>
      </c>
      <c r="J11" t="n">
        <v>1314.52</v>
      </c>
      <c r="K11" t="n">
        <v>324.2472258064516</v>
      </c>
      <c r="L11" t="n">
        <v>1.31452</v>
      </c>
    </row>
    <row r="12">
      <c r="A12" t="inlineStr">
        <is>
          <t>912810FD5</t>
        </is>
      </c>
      <c r="B12" t="inlineStr">
        <is>
          <t>3.625000</t>
        </is>
      </c>
      <c r="C12" t="inlineStr">
        <is>
          <t>2028-04-15</t>
        </is>
      </c>
      <c r="D12" t="inlineStr">
        <is>
          <t>30-Year</t>
        </is>
      </c>
      <c r="E12" t="inlineStr">
        <is>
          <t>TIPS of April 2028</t>
        </is>
      </c>
      <c r="F12" t="inlineStr">
        <is>
          <t>1998-04-15</t>
        </is>
      </c>
      <c r="G12" t="inlineStr">
        <is>
          <t>161.740000</t>
        </is>
      </c>
      <c r="H12" t="inlineStr">
        <is>
          <t>2.00474</t>
        </is>
      </c>
      <c r="I12" t="inlineStr">
        <is>
          <t>2026-03-06</t>
        </is>
      </c>
      <c r="J12" t="n">
        <v>2004.74</v>
      </c>
      <c r="K12" t="n">
        <v>324.2472258064516</v>
      </c>
      <c r="L12" t="n">
        <v>2.00474</v>
      </c>
    </row>
    <row r="13">
      <c r="A13" t="inlineStr">
        <is>
          <t>91282CGW5</t>
        </is>
      </c>
      <c r="B13" t="inlineStr">
        <is>
          <t>1.250000</t>
        </is>
      </c>
      <c r="C13" t="inlineStr">
        <is>
          <t>2028-04-15</t>
        </is>
      </c>
      <c r="D13" t="inlineStr">
        <is>
          <t>5-Year</t>
        </is>
      </c>
      <c r="E13" t="inlineStr">
        <is>
          <t>X-2028</t>
        </is>
      </c>
      <c r="F13" t="inlineStr">
        <is>
          <t>2023-04-28</t>
        </is>
      </c>
      <c r="G13" t="inlineStr">
        <is>
          <t>299.949330</t>
        </is>
      </c>
      <c r="H13" t="inlineStr">
        <is>
          <t>1.08101</t>
        </is>
      </c>
      <c r="I13" t="inlineStr">
        <is>
          <t>2026-03-06</t>
        </is>
      </c>
      <c r="J13" t="n">
        <v>1081.01</v>
      </c>
      <c r="K13" t="n">
        <v>324.2472258064516</v>
      </c>
      <c r="L13" t="n">
        <v>1.08101</v>
      </c>
    </row>
    <row r="14">
      <c r="A14" t="inlineStr">
        <is>
          <t>912828Y38</t>
        </is>
      </c>
      <c r="B14" t="inlineStr">
        <is>
          <t>0.750000</t>
        </is>
      </c>
      <c r="C14" t="inlineStr">
        <is>
          <t>2028-07-15</t>
        </is>
      </c>
      <c r="D14" t="inlineStr">
        <is>
          <t>10-Year</t>
        </is>
      </c>
      <c r="E14" t="inlineStr">
        <is>
          <t>D-2028</t>
        </is>
      </c>
      <c r="F14" t="inlineStr">
        <is>
          <t>2018-07-31</t>
        </is>
      </c>
      <c r="G14" t="inlineStr">
        <is>
          <t>251.016580</t>
        </is>
      </c>
      <c r="H14" t="inlineStr">
        <is>
          <t>1.29174</t>
        </is>
      </c>
      <c r="I14" t="inlineStr">
        <is>
          <t>2026-03-06</t>
        </is>
      </c>
      <c r="J14" t="n">
        <v>1291.74</v>
      </c>
      <c r="K14" t="n">
        <v>324.2472258064516</v>
      </c>
      <c r="L14" t="n">
        <v>1.29174</v>
      </c>
    </row>
    <row r="15">
      <c r="A15" t="inlineStr">
        <is>
          <t>91282CJH5</t>
        </is>
      </c>
      <c r="B15" t="inlineStr">
        <is>
          <t>2.375000</t>
        </is>
      </c>
      <c r="C15" t="inlineStr">
        <is>
          <t>2028-10-15</t>
        </is>
      </c>
      <c r="D15" t="inlineStr">
        <is>
          <t>5-Year</t>
        </is>
      </c>
      <c r="E15" t="inlineStr">
        <is>
          <t>AE-2028</t>
        </is>
      </c>
      <c r="F15" t="inlineStr">
        <is>
          <t>2023-10-31</t>
        </is>
      </c>
      <c r="G15" t="inlineStr">
        <is>
          <t>306.293900</t>
        </is>
      </c>
      <c r="H15" t="inlineStr">
        <is>
          <t>1.05861</t>
        </is>
      </c>
      <c r="I15" t="inlineStr">
        <is>
          <t>2026-03-06</t>
        </is>
      </c>
      <c r="J15" t="n">
        <v>1058.61</v>
      </c>
      <c r="K15" t="n">
        <v>324.2472258064516</v>
      </c>
      <c r="L15" t="n">
        <v>1.05861</v>
      </c>
    </row>
    <row r="16">
      <c r="A16" t="inlineStr">
        <is>
          <t>912810PZ5</t>
        </is>
      </c>
      <c r="B16" t="inlineStr">
        <is>
          <t>2.500000</t>
        </is>
      </c>
      <c r="C16" t="inlineStr">
        <is>
          <t>2029-01-15</t>
        </is>
      </c>
      <c r="D16" t="inlineStr">
        <is>
          <t>20-Year</t>
        </is>
      </c>
      <c r="E16" t="inlineStr">
        <is>
          <t>TIPS of January 2029</t>
        </is>
      </c>
      <c r="F16" t="inlineStr">
        <is>
          <t>2009-01-30</t>
        </is>
      </c>
      <c r="G16" t="inlineStr">
        <is>
          <t>214.699710</t>
        </is>
      </c>
      <c r="H16" t="inlineStr">
        <is>
          <t>1.51024</t>
        </is>
      </c>
      <c r="I16" t="inlineStr">
        <is>
          <t>2026-03-06</t>
        </is>
      </c>
      <c r="J16" t="n">
        <v>1510.24</v>
      </c>
      <c r="K16" t="n">
        <v>324.2472258064516</v>
      </c>
      <c r="L16" t="n">
        <v>1.51024</v>
      </c>
    </row>
    <row r="17">
      <c r="A17" t="inlineStr">
        <is>
          <t>9128285W6</t>
        </is>
      </c>
      <c r="B17" t="inlineStr">
        <is>
          <t>0.875000</t>
        </is>
      </c>
      <c r="C17" t="inlineStr">
        <is>
          <t>2029-01-15</t>
        </is>
      </c>
      <c r="D17" t="inlineStr">
        <is>
          <t>10-Year</t>
        </is>
      </c>
      <c r="E17" t="inlineStr">
        <is>
          <t>A-2029</t>
        </is>
      </c>
      <c r="F17" t="inlineStr">
        <is>
          <t>2019-01-31</t>
        </is>
      </c>
      <c r="G17" t="inlineStr">
        <is>
          <t>252.502480</t>
        </is>
      </c>
      <c r="H17" t="inlineStr">
        <is>
          <t>1.28413</t>
        </is>
      </c>
      <c r="I17" t="inlineStr">
        <is>
          <t>2026-03-06</t>
        </is>
      </c>
      <c r="J17" t="n">
        <v>1284.13</v>
      </c>
      <c r="K17" t="n">
        <v>324.2472258064516</v>
      </c>
      <c r="L17" t="n">
        <v>1.28413</v>
      </c>
    </row>
    <row r="18">
      <c r="A18" t="inlineStr">
        <is>
          <t>912810FH6</t>
        </is>
      </c>
      <c r="B18" t="inlineStr">
        <is>
          <t>3.875000</t>
        </is>
      </c>
      <c r="C18" t="inlineStr">
        <is>
          <t>2029-04-15</t>
        </is>
      </c>
      <c r="D18" t="inlineStr">
        <is>
          <t>30-Year</t>
        </is>
      </c>
      <c r="E18" t="inlineStr">
        <is>
          <t>TIPS of April 2029</t>
        </is>
      </c>
      <c r="F18" t="inlineStr">
        <is>
          <t>1999-04-15</t>
        </is>
      </c>
      <c r="G18" t="inlineStr">
        <is>
          <t>164.393330</t>
        </is>
      </c>
      <c r="H18" t="inlineStr">
        <is>
          <t>1.97239</t>
        </is>
      </c>
      <c r="I18" t="inlineStr">
        <is>
          <t>2026-03-06</t>
        </is>
      </c>
      <c r="J18" t="n">
        <v>1972.39</v>
      </c>
      <c r="K18" t="n">
        <v>324.2472258064516</v>
      </c>
      <c r="L18" t="n">
        <v>1.97239</v>
      </c>
    </row>
    <row r="19">
      <c r="A19" t="inlineStr">
        <is>
          <t>91282CKL4</t>
        </is>
      </c>
      <c r="B19" t="inlineStr">
        <is>
          <t>2.125000</t>
        </is>
      </c>
      <c r="C19" t="inlineStr">
        <is>
          <t>2029-04-15</t>
        </is>
      </c>
      <c r="D19" t="inlineStr">
        <is>
          <t>5-Year</t>
        </is>
      </c>
      <c r="E19" t="inlineStr">
        <is>
          <t>X-2029</t>
        </is>
      </c>
      <c r="F19" t="inlineStr">
        <is>
          <t>2024-04-30</t>
        </is>
      </c>
      <c r="G19" t="inlineStr">
        <is>
          <t>309.307870</t>
        </is>
      </c>
      <c r="H19" t="inlineStr">
        <is>
          <t>1.04830</t>
        </is>
      </c>
      <c r="I19" t="inlineStr">
        <is>
          <t>2026-03-06</t>
        </is>
      </c>
      <c r="J19" t="n">
        <v>1048.3</v>
      </c>
      <c r="K19" t="n">
        <v>324.2472258064516</v>
      </c>
      <c r="L19" t="n">
        <v>1.0483</v>
      </c>
    </row>
    <row r="20">
      <c r="A20" t="inlineStr">
        <is>
          <t>9128287D6</t>
        </is>
      </c>
      <c r="B20" t="inlineStr">
        <is>
          <t>0.250000</t>
        </is>
      </c>
      <c r="C20" t="inlineStr">
        <is>
          <t>2029-07-15</t>
        </is>
      </c>
      <c r="D20" t="inlineStr">
        <is>
          <t>10-Year</t>
        </is>
      </c>
      <c r="E20" t="inlineStr">
        <is>
          <t>D-2029</t>
        </is>
      </c>
      <c r="F20" t="inlineStr">
        <is>
          <t>2019-07-31</t>
        </is>
      </c>
      <c r="G20" t="inlineStr">
        <is>
          <t>255.793680</t>
        </is>
      </c>
      <c r="H20" t="inlineStr">
        <is>
          <t>1.26761</t>
        </is>
      </c>
      <c r="I20" t="inlineStr">
        <is>
          <t>2026-03-06</t>
        </is>
      </c>
      <c r="J20" t="n">
        <v>1267.6</v>
      </c>
      <c r="K20" t="n">
        <v>324.2472258064516</v>
      </c>
      <c r="L20" t="n">
        <v>1.26761</v>
      </c>
    </row>
    <row r="21">
      <c r="A21" t="inlineStr">
        <is>
          <t>91282CLV1</t>
        </is>
      </c>
      <c r="B21" t="inlineStr">
        <is>
          <t>1.625000</t>
        </is>
      </c>
      <c r="C21" t="inlineStr">
        <is>
          <t>2029-10-15</t>
        </is>
      </c>
      <c r="D21" t="inlineStr">
        <is>
          <t>5-Year</t>
        </is>
      </c>
      <c r="E21" t="inlineStr">
        <is>
          <t>AE-2029</t>
        </is>
      </c>
      <c r="F21" t="inlineStr">
        <is>
          <t>2024-10-31</t>
        </is>
      </c>
      <c r="G21" t="inlineStr">
        <is>
          <t>314.655610</t>
        </is>
      </c>
      <c r="H21" t="inlineStr">
        <is>
          <t>1.03048</t>
        </is>
      </c>
      <c r="I21" t="inlineStr">
        <is>
          <t>2026-03-06</t>
        </is>
      </c>
      <c r="J21" t="n">
        <v>1030.48</v>
      </c>
      <c r="K21" t="n">
        <v>324.2472258064516</v>
      </c>
      <c r="L21" t="n">
        <v>1.03048</v>
      </c>
    </row>
    <row r="22">
      <c r="A22" t="inlineStr">
        <is>
          <t>912828Z37</t>
        </is>
      </c>
      <c r="B22" t="inlineStr">
        <is>
          <t>0.125000</t>
        </is>
      </c>
      <c r="C22" t="inlineStr">
        <is>
          <t>2030-01-15</t>
        </is>
      </c>
      <c r="D22" t="inlineStr">
        <is>
          <t>10-Year</t>
        </is>
      </c>
      <c r="E22" t="inlineStr">
        <is>
          <t>A-2030</t>
        </is>
      </c>
      <c r="F22" t="inlineStr">
        <is>
          <t>2020-01-31</t>
        </is>
      </c>
      <c r="G22" t="inlineStr">
        <is>
          <t>257.283680</t>
        </is>
      </c>
      <c r="H22" t="inlineStr">
        <is>
          <t>1.26027</t>
        </is>
      </c>
      <c r="I22" t="inlineStr">
        <is>
          <t>2026-03-06</t>
        </is>
      </c>
      <c r="J22" t="n">
        <v>1260.27</v>
      </c>
      <c r="K22" t="n">
        <v>324.2472258064516</v>
      </c>
      <c r="L22" t="n">
        <v>1.26027</v>
      </c>
    </row>
    <row r="23">
      <c r="A23" t="inlineStr">
        <is>
          <t>91282CNB3</t>
        </is>
      </c>
      <c r="B23" t="inlineStr">
        <is>
          <t>1.625000</t>
        </is>
      </c>
      <c r="C23" t="inlineStr">
        <is>
          <t>2030-04-15</t>
        </is>
      </c>
      <c r="D23" t="inlineStr">
        <is>
          <t>5-Year</t>
        </is>
      </c>
      <c r="E23" t="inlineStr">
        <is>
          <t>X-2030</t>
        </is>
      </c>
      <c r="F23" t="inlineStr">
        <is>
          <t>2025-04-30</t>
        </is>
      </c>
      <c r="G23" t="inlineStr">
        <is>
          <t>318.329470</t>
        </is>
      </c>
      <c r="H23" t="inlineStr">
        <is>
          <t>1.01859</t>
        </is>
      </c>
      <c r="I23" t="inlineStr">
        <is>
          <t>2026-03-06</t>
        </is>
      </c>
      <c r="J23" t="n">
        <v>1018.59</v>
      </c>
      <c r="K23" t="n">
        <v>324.2472258064516</v>
      </c>
      <c r="L23" t="n">
        <v>1.01859</v>
      </c>
    </row>
    <row r="24">
      <c r="A24" t="inlineStr">
        <is>
          <t>912828ZZ6</t>
        </is>
      </c>
      <c r="B24" t="inlineStr">
        <is>
          <t>0.125000</t>
        </is>
      </c>
      <c r="C24" t="inlineStr">
        <is>
          <t>2030-07-15</t>
        </is>
      </c>
      <c r="D24" t="inlineStr">
        <is>
          <t>10-Year</t>
        </is>
      </c>
      <c r="E24" t="inlineStr">
        <is>
          <t>D-2030</t>
        </is>
      </c>
      <c r="F24" t="inlineStr">
        <is>
          <t>2020-07-31</t>
        </is>
      </c>
      <c r="G24" t="inlineStr">
        <is>
          <t>256.391260</t>
        </is>
      </c>
      <c r="H24" t="inlineStr">
        <is>
          <t>1.26466</t>
        </is>
      </c>
      <c r="I24" t="inlineStr">
        <is>
          <t>2026-03-06</t>
        </is>
      </c>
      <c r="J24" t="n">
        <v>1264.65</v>
      </c>
      <c r="K24" t="n">
        <v>324.2472258064516</v>
      </c>
      <c r="L24" t="n">
        <v>1.26466</v>
      </c>
    </row>
    <row r="25">
      <c r="A25" t="inlineStr">
        <is>
          <t>91282CPH8</t>
        </is>
      </c>
      <c r="B25" t="inlineStr">
        <is>
          <t>1.125000</t>
        </is>
      </c>
      <c r="C25" t="inlineStr">
        <is>
          <t>2030-10-15</t>
        </is>
      </c>
      <c r="D25" t="inlineStr">
        <is>
          <t>5-Year</t>
        </is>
      </c>
      <c r="E25" t="inlineStr">
        <is>
          <t>AE-2030</t>
        </is>
      </c>
      <c r="F25" t="inlineStr">
        <is>
          <t>2025-10-31</t>
        </is>
      </c>
      <c r="G25" t="inlineStr">
        <is>
          <t>323.467100</t>
        </is>
      </c>
      <c r="H25" t="inlineStr">
        <is>
          <t>1.00241</t>
        </is>
      </c>
      <c r="I25" t="inlineStr">
        <is>
          <t>2026-03-06</t>
        </is>
      </c>
      <c r="J25" t="n">
        <v>1002.41</v>
      </c>
      <c r="K25" t="n">
        <v>324.2472258064516</v>
      </c>
      <c r="L25" t="n">
        <v>1.00241</v>
      </c>
    </row>
    <row r="26">
      <c r="A26" t="inlineStr">
        <is>
          <t>91282CBF7</t>
        </is>
      </c>
      <c r="B26" t="inlineStr">
        <is>
          <t>0.125000</t>
        </is>
      </c>
      <c r="C26" t="inlineStr">
        <is>
          <t>2031-01-15</t>
        </is>
      </c>
      <c r="D26" t="inlineStr">
        <is>
          <t>10-Year</t>
        </is>
      </c>
      <c r="E26" t="inlineStr">
        <is>
          <t>A-2031</t>
        </is>
      </c>
      <c r="F26" t="inlineStr">
        <is>
          <t>2021-01-29</t>
        </is>
      </c>
      <c r="G26" t="inlineStr">
        <is>
          <t>260.316190</t>
        </is>
      </c>
      <c r="H26" t="inlineStr">
        <is>
          <t>1.24559</t>
        </is>
      </c>
      <c r="I26" t="inlineStr">
        <is>
          <t>2026-03-06</t>
        </is>
      </c>
      <c r="J26" t="n">
        <v>1245.59</v>
      </c>
      <c r="K26" t="n">
        <v>324.2472258064516</v>
      </c>
      <c r="L26" t="n">
        <v>1.24559</v>
      </c>
    </row>
    <row r="27">
      <c r="A27" t="inlineStr">
        <is>
          <t>91282CCM1</t>
        </is>
      </c>
      <c r="B27" t="inlineStr">
        <is>
          <t>0.125000</t>
        </is>
      </c>
      <c r="C27" t="inlineStr">
        <is>
          <t>2031-07-15</t>
        </is>
      </c>
      <c r="D27" t="inlineStr">
        <is>
          <t>10-Year</t>
        </is>
      </c>
      <c r="E27" t="inlineStr">
        <is>
          <t>D-2031</t>
        </is>
      </c>
      <c r="F27" t="inlineStr">
        <is>
          <t>2021-07-30</t>
        </is>
      </c>
      <c r="G27" t="inlineStr">
        <is>
          <t>268.020900</t>
        </is>
      </c>
      <c r="H27" t="inlineStr">
        <is>
          <t>1.20978</t>
        </is>
      </c>
      <c r="I27" t="inlineStr">
        <is>
          <t>2026-03-06</t>
        </is>
      </c>
      <c r="J27" t="n">
        <v>1209.78</v>
      </c>
      <c r="K27" t="n">
        <v>324.2472258064516</v>
      </c>
      <c r="L27" t="n">
        <v>1.20978</v>
      </c>
    </row>
    <row r="28">
      <c r="A28" t="inlineStr">
        <is>
          <t>91282CDX6</t>
        </is>
      </c>
      <c r="B28" t="inlineStr">
        <is>
          <t>0.125000</t>
        </is>
      </c>
      <c r="C28" t="inlineStr">
        <is>
          <t>2032-01-15</t>
        </is>
      </c>
      <c r="D28" t="inlineStr">
        <is>
          <t>10-Year</t>
        </is>
      </c>
      <c r="E28" t="inlineStr">
        <is>
          <t>A-2032</t>
        </is>
      </c>
      <c r="F28" t="inlineStr">
        <is>
          <t>2022-01-31</t>
        </is>
      </c>
      <c r="G28" t="inlineStr">
        <is>
          <t>277.202740</t>
        </is>
      </c>
      <c r="H28" t="inlineStr">
        <is>
          <t>1.16971</t>
        </is>
      </c>
      <c r="I28" t="inlineStr">
        <is>
          <t>2026-03-06</t>
        </is>
      </c>
      <c r="J28" t="n">
        <v>1169.71</v>
      </c>
      <c r="K28" t="n">
        <v>324.2472258064516</v>
      </c>
      <c r="L28" t="n">
        <v>1.16971</v>
      </c>
    </row>
    <row r="29">
      <c r="A29" t="inlineStr">
        <is>
          <t>912810FQ6</t>
        </is>
      </c>
      <c r="B29" t="inlineStr">
        <is>
          <t>3.375000</t>
        </is>
      </c>
      <c r="C29" t="inlineStr">
        <is>
          <t>2032-04-15</t>
        </is>
      </c>
      <c r="D29" t="inlineStr">
        <is>
          <t>30-Year 6-Month</t>
        </is>
      </c>
      <c r="E29" t="inlineStr">
        <is>
          <t>TIPS of April 2032</t>
        </is>
      </c>
      <c r="F29" t="inlineStr">
        <is>
          <t>2001-10-15</t>
        </is>
      </c>
      <c r="G29" t="inlineStr">
        <is>
          <t>177.500000</t>
        </is>
      </c>
      <c r="H29" t="inlineStr">
        <is>
          <t>1.82674</t>
        </is>
      </c>
      <c r="I29" t="inlineStr">
        <is>
          <t>2026-03-06</t>
        </is>
      </c>
      <c r="J29" t="n">
        <v>1826.74</v>
      </c>
      <c r="K29" t="n">
        <v>324.2472258064516</v>
      </c>
      <c r="L29" t="n">
        <v>1.82674</v>
      </c>
    </row>
    <row r="30">
      <c r="A30" t="inlineStr">
        <is>
          <t>91282CEZ0</t>
        </is>
      </c>
      <c r="B30" t="inlineStr">
        <is>
          <t>0.625000</t>
        </is>
      </c>
      <c r="C30" t="inlineStr">
        <is>
          <t>2032-07-15</t>
        </is>
      </c>
      <c r="D30" t="inlineStr">
        <is>
          <t>10-Year</t>
        </is>
      </c>
      <c r="E30" t="inlineStr">
        <is>
          <t>D-2032</t>
        </is>
      </c>
      <c r="F30" t="inlineStr">
        <is>
          <t>2022-07-29</t>
        </is>
      </c>
      <c r="G30" t="inlineStr">
        <is>
          <t>290.548290</t>
        </is>
      </c>
      <c r="H30" t="inlineStr">
        <is>
          <t>1.11598</t>
        </is>
      </c>
      <c r="I30" t="inlineStr">
        <is>
          <t>2026-03-06</t>
        </is>
      </c>
      <c r="J30" t="n">
        <v>1115.98</v>
      </c>
      <c r="K30" t="n">
        <v>324.2472258064516</v>
      </c>
      <c r="L30" t="n">
        <v>1.11598</v>
      </c>
    </row>
    <row r="31">
      <c r="A31" t="inlineStr">
        <is>
          <t>91282CGK1</t>
        </is>
      </c>
      <c r="B31" t="inlineStr">
        <is>
          <t>1.125000</t>
        </is>
      </c>
      <c r="C31" t="inlineStr">
        <is>
          <t>2033-01-15</t>
        </is>
      </c>
      <c r="D31" t="inlineStr">
        <is>
          <t>10-Year</t>
        </is>
      </c>
      <c r="E31" t="inlineStr">
        <is>
          <t>A-2033</t>
        </is>
      </c>
      <c r="F31" t="inlineStr">
        <is>
          <t>2023-01-31</t>
        </is>
      </c>
      <c r="G31" t="inlineStr">
        <is>
          <t>297.876060</t>
        </is>
      </c>
      <c r="H31" t="inlineStr">
        <is>
          <t>1.08853</t>
        </is>
      </c>
      <c r="I31" t="inlineStr">
        <is>
          <t>2026-03-06</t>
        </is>
      </c>
      <c r="J31" t="n">
        <v>1088.53</v>
      </c>
      <c r="K31" t="n">
        <v>324.2472258064516</v>
      </c>
      <c r="L31" t="n">
        <v>1.08853</v>
      </c>
    </row>
    <row r="32">
      <c r="A32" t="inlineStr">
        <is>
          <t>91282CHP9</t>
        </is>
      </c>
      <c r="B32" t="inlineStr">
        <is>
          <t>1.375000</t>
        </is>
      </c>
      <c r="C32" t="inlineStr">
        <is>
          <t>2033-07-15</t>
        </is>
      </c>
      <c r="D32" t="inlineStr">
        <is>
          <t>10-Year</t>
        </is>
      </c>
      <c r="E32" t="inlineStr">
        <is>
          <t>D-2033</t>
        </is>
      </c>
      <c r="F32" t="inlineStr">
        <is>
          <t>2023-07-31</t>
        </is>
      </c>
      <c r="G32" t="inlineStr">
        <is>
          <t>303.708030</t>
        </is>
      </c>
      <c r="H32" t="inlineStr">
        <is>
          <t>1.06763</t>
        </is>
      </c>
      <c r="I32" t="inlineStr">
        <is>
          <t>2026-03-06</t>
        </is>
      </c>
      <c r="J32" t="n">
        <v>1067.63</v>
      </c>
      <c r="K32" t="n">
        <v>324.2472258064516</v>
      </c>
      <c r="L32" t="n">
        <v>1.06763</v>
      </c>
    </row>
    <row r="33">
      <c r="A33" t="inlineStr">
        <is>
          <t>91282CJY8</t>
        </is>
      </c>
      <c r="B33" t="inlineStr">
        <is>
          <t>1.750000</t>
        </is>
      </c>
      <c r="C33" t="inlineStr">
        <is>
          <t>2034-01-15</t>
        </is>
      </c>
      <c r="D33" t="inlineStr">
        <is>
          <t>10-Year</t>
        </is>
      </c>
      <c r="E33" t="inlineStr">
        <is>
          <t>A-2034</t>
        </is>
      </c>
      <c r="F33" t="inlineStr">
        <is>
          <t>2024-01-31</t>
        </is>
      </c>
      <c r="G33" t="inlineStr">
        <is>
          <t>307.391000</t>
        </is>
      </c>
      <c r="H33" t="inlineStr">
        <is>
          <t>1.05484</t>
        </is>
      </c>
      <c r="I33" t="inlineStr">
        <is>
          <t>2026-03-06</t>
        </is>
      </c>
      <c r="J33" t="n">
        <v>1054.84</v>
      </c>
      <c r="K33" t="n">
        <v>324.2472258064516</v>
      </c>
      <c r="L33" t="n">
        <v>1.05484</v>
      </c>
    </row>
    <row r="34">
      <c r="A34" t="inlineStr">
        <is>
          <t>91282CLE9</t>
        </is>
      </c>
      <c r="B34" t="inlineStr">
        <is>
          <t>1.875000</t>
        </is>
      </c>
      <c r="C34" t="inlineStr">
        <is>
          <t>2034-07-15</t>
        </is>
      </c>
      <c r="D34" t="inlineStr">
        <is>
          <t>10-Year</t>
        </is>
      </c>
      <c r="E34" t="inlineStr">
        <is>
          <t>D-2034</t>
        </is>
      </c>
      <c r="F34" t="inlineStr">
        <is>
          <t>2024-07-31</t>
        </is>
      </c>
      <c r="G34" t="inlineStr">
        <is>
          <t>313.783290</t>
        </is>
      </c>
      <c r="H34" t="inlineStr">
        <is>
          <t>1.03335</t>
        </is>
      </c>
      <c r="I34" t="inlineStr">
        <is>
          <t>2026-03-06</t>
        </is>
      </c>
      <c r="J34" t="n">
        <v>1033.35</v>
      </c>
      <c r="K34" t="n">
        <v>324.2472258064516</v>
      </c>
      <c r="L34" t="n">
        <v>1.03335</v>
      </c>
    </row>
    <row r="35">
      <c r="A35" t="inlineStr">
        <is>
          <t>91282CML2</t>
        </is>
      </c>
      <c r="B35" t="inlineStr">
        <is>
          <t>2.125000</t>
        </is>
      </c>
      <c r="C35" t="inlineStr">
        <is>
          <t>2035-01-15</t>
        </is>
      </c>
      <c r="D35" t="inlineStr">
        <is>
          <t>10-Year</t>
        </is>
      </c>
      <c r="E35" t="inlineStr">
        <is>
          <t>A-2035</t>
        </is>
      </c>
      <c r="F35" t="inlineStr">
        <is>
          <t>2025-01-31</t>
        </is>
      </c>
      <c r="G35" t="inlineStr">
        <is>
          <t>315.586770</t>
        </is>
      </c>
      <c r="H35" t="inlineStr">
        <is>
          <t>1.02744</t>
        </is>
      </c>
      <c r="I35" t="inlineStr">
        <is>
          <t>2026-03-06</t>
        </is>
      </c>
      <c r="J35" t="n">
        <v>1027.43</v>
      </c>
      <c r="K35" t="n">
        <v>324.2472258064516</v>
      </c>
      <c r="L35" t="n">
        <v>1.02744</v>
      </c>
    </row>
    <row r="36">
      <c r="A36" t="inlineStr">
        <is>
          <t>91282CNS6</t>
        </is>
      </c>
      <c r="B36" t="inlineStr">
        <is>
          <t>1.875000</t>
        </is>
      </c>
      <c r="C36" t="inlineStr">
        <is>
          <t>2035-07-15</t>
        </is>
      </c>
      <c r="D36" t="inlineStr">
        <is>
          <t>10-Year</t>
        </is>
      </c>
      <c r="E36" t="inlineStr">
        <is>
          <t>D-2035</t>
        </is>
      </c>
      <c r="F36" t="inlineStr">
        <is>
          <t>2025-07-31</t>
        </is>
      </c>
      <c r="G36" t="inlineStr">
        <is>
          <t>321.097580</t>
        </is>
      </c>
      <c r="H36" t="inlineStr">
        <is>
          <t>1.00981</t>
        </is>
      </c>
      <c r="I36" t="inlineStr">
        <is>
          <t>2026-03-06</t>
        </is>
      </c>
      <c r="J36" t="n">
        <v>1009.81</v>
      </c>
      <c r="K36" t="n">
        <v>324.2472258064516</v>
      </c>
      <c r="L36" t="n">
        <v>1.00981</v>
      </c>
    </row>
    <row r="37">
      <c r="A37" t="inlineStr">
        <is>
          <t>91282CPU9</t>
        </is>
      </c>
      <c r="B37" t="inlineStr">
        <is>
          <t>1.875000</t>
        </is>
      </c>
      <c r="C37" t="inlineStr">
        <is>
          <t>2036-01-15</t>
        </is>
      </c>
      <c r="D37" t="inlineStr">
        <is>
          <t>10-Year</t>
        </is>
      </c>
      <c r="E37" t="inlineStr">
        <is>
          <t>A-2036</t>
        </is>
      </c>
      <c r="F37" t="inlineStr">
        <is>
          <t>2026-01-30</t>
        </is>
      </c>
      <c r="G37" t="inlineStr">
        <is>
          <t>324.934710</t>
        </is>
      </c>
      <c r="H37" t="inlineStr">
        <is>
          <t>0.99788</t>
        </is>
      </c>
      <c r="I37" t="inlineStr">
        <is>
          <t>2026-03-06</t>
        </is>
      </c>
      <c r="J37" t="n">
        <v>997.88</v>
      </c>
      <c r="K37" t="n">
        <v>324.2472258064516</v>
      </c>
      <c r="L37" t="n">
        <v>0.99788</v>
      </c>
    </row>
    <row r="38">
      <c r="A38" t="inlineStr">
        <is>
          <t>912810QF8</t>
        </is>
      </c>
      <c r="B38" t="inlineStr">
        <is>
          <t>2.125000</t>
        </is>
      </c>
      <c r="C38" t="inlineStr">
        <is>
          <t>2040-02-15</t>
        </is>
      </c>
      <c r="D38" t="inlineStr">
        <is>
          <t>30-Year</t>
        </is>
      </c>
      <c r="E38" t="inlineStr">
        <is>
          <t>TIPS of February 2040</t>
        </is>
      </c>
      <c r="F38" t="inlineStr">
        <is>
          <t>2010-02-26</t>
        </is>
      </c>
      <c r="G38" t="inlineStr">
        <is>
          <t>216.139500</t>
        </is>
      </c>
      <c r="H38" t="inlineStr">
        <is>
          <t>1.50018</t>
        </is>
      </c>
      <c r="I38" t="inlineStr">
        <is>
          <t>2026-03-06</t>
        </is>
      </c>
      <c r="J38" t="n">
        <v>1500.18</v>
      </c>
      <c r="K38" t="n">
        <v>324.2472258064516</v>
      </c>
      <c r="L38" t="n">
        <v>1.50018</v>
      </c>
    </row>
    <row r="39">
      <c r="A39" t="inlineStr">
        <is>
          <t>912810QP6</t>
        </is>
      </c>
      <c r="B39" t="inlineStr">
        <is>
          <t>2.125000</t>
        </is>
      </c>
      <c r="C39" t="inlineStr">
        <is>
          <t>2041-02-15</t>
        </is>
      </c>
      <c r="D39" t="inlineStr">
        <is>
          <t>30-Year</t>
        </is>
      </c>
      <c r="E39" t="inlineStr">
        <is>
          <t>TIPS of February 2041</t>
        </is>
      </c>
      <c r="F39" t="inlineStr">
        <is>
          <t>2011-02-28</t>
        </is>
      </c>
      <c r="G39" t="inlineStr">
        <is>
          <t>218.991000</t>
        </is>
      </c>
      <c r="H39" t="inlineStr">
        <is>
          <t>1.48064</t>
        </is>
      </c>
      <c r="I39" t="inlineStr">
        <is>
          <t>2026-03-06</t>
        </is>
      </c>
      <c r="J39" t="n">
        <v>1480.64</v>
      </c>
      <c r="K39" t="n">
        <v>324.2472258064516</v>
      </c>
      <c r="L39" t="n">
        <v>1.48064</v>
      </c>
    </row>
    <row r="40">
      <c r="A40" t="inlineStr">
        <is>
          <t>912810QV3</t>
        </is>
      </c>
      <c r="B40" t="inlineStr">
        <is>
          <t>0.750000</t>
        </is>
      </c>
      <c r="C40" t="inlineStr">
        <is>
          <t>2042-02-15</t>
        </is>
      </c>
      <c r="D40" t="inlineStr">
        <is>
          <t>30-Year</t>
        </is>
      </c>
      <c r="E40" t="inlineStr">
        <is>
          <t>TIPS of February 2042</t>
        </is>
      </c>
      <c r="F40" t="inlineStr">
        <is>
          <t>2012-02-29</t>
        </is>
      </c>
      <c r="G40" t="inlineStr">
        <is>
          <t>225.960620</t>
        </is>
      </c>
      <c r="H40" t="inlineStr">
        <is>
          <t>1.43497</t>
        </is>
      </c>
      <c r="I40" t="inlineStr">
        <is>
          <t>2026-03-06</t>
        </is>
      </c>
      <c r="J40" t="n">
        <v>1434.97</v>
      </c>
      <c r="K40" t="n">
        <v>324.2472258064516</v>
      </c>
      <c r="L40" t="n">
        <v>1.43497</v>
      </c>
    </row>
    <row r="41">
      <c r="A41" t="inlineStr">
        <is>
          <t>912810RA8</t>
        </is>
      </c>
      <c r="B41" t="inlineStr">
        <is>
          <t>0.625000</t>
        </is>
      </c>
      <c r="C41" t="inlineStr">
        <is>
          <t>2043-02-15</t>
        </is>
      </c>
      <c r="D41" t="inlineStr">
        <is>
          <t>30-Year</t>
        </is>
      </c>
      <c r="E41" t="inlineStr">
        <is>
          <t>TIPS of February 2043</t>
        </is>
      </c>
      <c r="F41" t="inlineStr">
        <is>
          <t>2013-02-28</t>
        </is>
      </c>
      <c r="G41" t="inlineStr">
        <is>
          <t>229.911000</t>
        </is>
      </c>
      <c r="H41" t="inlineStr">
        <is>
          <t>1.41032</t>
        </is>
      </c>
      <c r="I41" t="inlineStr">
        <is>
          <t>2026-03-06</t>
        </is>
      </c>
      <c r="J41" t="n">
        <v>1410.32</v>
      </c>
      <c r="K41" t="n">
        <v>324.2472258064516</v>
      </c>
      <c r="L41" t="n">
        <v>1.41032</v>
      </c>
    </row>
    <row r="42">
      <c r="A42" t="inlineStr">
        <is>
          <t>912810RF7</t>
        </is>
      </c>
      <c r="B42" t="inlineStr">
        <is>
          <t>1.375000</t>
        </is>
      </c>
      <c r="C42" t="inlineStr">
        <is>
          <t>2044-02-15</t>
        </is>
      </c>
      <c r="D42" t="inlineStr">
        <is>
          <t>30-Year</t>
        </is>
      </c>
      <c r="E42" t="inlineStr">
        <is>
          <t>TIPS of February 2044</t>
        </is>
      </c>
      <c r="F42" t="inlineStr">
        <is>
          <t>2014-02-28</t>
        </is>
      </c>
      <c r="G42" t="inlineStr">
        <is>
          <t>233.059000</t>
        </is>
      </c>
      <c r="H42" t="inlineStr">
        <is>
          <t>1.39127</t>
        </is>
      </c>
      <c r="I42" t="inlineStr">
        <is>
          <t>2026-03-06</t>
        </is>
      </c>
      <c r="J42" t="n">
        <v>1391.27</v>
      </c>
      <c r="K42" t="n">
        <v>324.2472258064516</v>
      </c>
      <c r="L42" t="n">
        <v>1.39127</v>
      </c>
    </row>
    <row r="43">
      <c r="A43" t="inlineStr">
        <is>
          <t>912810RL4</t>
        </is>
      </c>
      <c r="B43" t="inlineStr">
        <is>
          <t>0.750000</t>
        </is>
      </c>
      <c r="C43" t="inlineStr">
        <is>
          <t>2045-02-15</t>
        </is>
      </c>
      <c r="D43" t="inlineStr">
        <is>
          <t>30-Year</t>
        </is>
      </c>
      <c r="E43" t="inlineStr">
        <is>
          <t>TIPS of February 2045</t>
        </is>
      </c>
      <c r="F43" t="inlineStr">
        <is>
          <t>2015-02-27</t>
        </is>
      </c>
      <c r="G43" t="inlineStr">
        <is>
          <t>235.481500</t>
        </is>
      </c>
      <c r="H43" t="inlineStr">
        <is>
          <t>1.37695</t>
        </is>
      </c>
      <c r="I43" t="inlineStr">
        <is>
          <t>2026-03-06</t>
        </is>
      </c>
      <c r="J43" t="n">
        <v>1376.95</v>
      </c>
      <c r="K43" t="n">
        <v>324.2472258064516</v>
      </c>
      <c r="L43" t="n">
        <v>1.37695</v>
      </c>
    </row>
    <row r="44">
      <c r="A44" t="inlineStr">
        <is>
          <t>912810RR1</t>
        </is>
      </c>
      <c r="B44" t="inlineStr">
        <is>
          <t>1.000000</t>
        </is>
      </c>
      <c r="C44" t="inlineStr">
        <is>
          <t>2046-02-15</t>
        </is>
      </c>
      <c r="D44" t="inlineStr">
        <is>
          <t>30-Year</t>
        </is>
      </c>
      <c r="E44" t="inlineStr">
        <is>
          <t>TIPS of February 2046</t>
        </is>
      </c>
      <c r="F44" t="inlineStr">
        <is>
          <t>2016-02-29</t>
        </is>
      </c>
      <c r="G44" t="inlineStr">
        <is>
          <t>236.944480</t>
        </is>
      </c>
      <c r="H44" t="inlineStr">
        <is>
          <t>1.36845</t>
        </is>
      </c>
      <c r="I44" t="inlineStr">
        <is>
          <t>2026-03-06</t>
        </is>
      </c>
      <c r="J44" t="n">
        <v>1368.45</v>
      </c>
      <c r="K44" t="n">
        <v>324.2472258064516</v>
      </c>
      <c r="L44" t="n">
        <v>1.36845</v>
      </c>
    </row>
    <row r="45">
      <c r="A45" t="inlineStr">
        <is>
          <t>912810RW0</t>
        </is>
      </c>
      <c r="B45" t="inlineStr">
        <is>
          <t>0.875000</t>
        </is>
      </c>
      <c r="C45" t="inlineStr">
        <is>
          <t>2047-02-15</t>
        </is>
      </c>
      <c r="D45" t="inlineStr">
        <is>
          <t>30-Year</t>
        </is>
      </c>
      <c r="E45" t="inlineStr">
        <is>
          <t>TIPS of February 2047</t>
        </is>
      </c>
      <c r="F45" t="inlineStr">
        <is>
          <t>2017-02-28</t>
        </is>
      </c>
      <c r="G45" t="inlineStr">
        <is>
          <t>241.392500</t>
        </is>
      </c>
      <c r="H45" t="inlineStr">
        <is>
          <t>1.34324</t>
        </is>
      </c>
      <c r="I45" t="inlineStr">
        <is>
          <t>2026-03-06</t>
        </is>
      </c>
      <c r="J45" t="n">
        <v>1343.24</v>
      </c>
      <c r="K45" t="n">
        <v>324.2472258064516</v>
      </c>
      <c r="L45" t="n">
        <v>1.34324</v>
      </c>
    </row>
    <row r="46">
      <c r="A46" t="inlineStr">
        <is>
          <t>912810SB5</t>
        </is>
      </c>
      <c r="B46" t="inlineStr">
        <is>
          <t>1.000000</t>
        </is>
      </c>
      <c r="C46" t="inlineStr">
        <is>
          <t>2048-02-15</t>
        </is>
      </c>
      <c r="D46" t="inlineStr">
        <is>
          <t>30-Year</t>
        </is>
      </c>
      <c r="E46" t="inlineStr">
        <is>
          <t>TIPS of February 2048</t>
        </is>
      </c>
      <c r="F46" t="inlineStr">
        <is>
          <t>2018-02-28</t>
        </is>
      </c>
      <c r="G46" t="inlineStr">
        <is>
          <t>246.596500</t>
        </is>
      </c>
      <c r="H46" t="inlineStr">
        <is>
          <t>1.31489</t>
        </is>
      </c>
      <c r="I46" t="inlineStr">
        <is>
          <t>2026-03-06</t>
        </is>
      </c>
      <c r="J46" t="n">
        <v>1314.89</v>
      </c>
      <c r="K46" t="n">
        <v>324.2472258064516</v>
      </c>
      <c r="L46" t="n">
        <v>1.31489</v>
      </c>
    </row>
    <row r="47">
      <c r="A47" t="inlineStr">
        <is>
          <t>912810SG4</t>
        </is>
      </c>
      <c r="B47" t="inlineStr">
        <is>
          <t>1.000000</t>
        </is>
      </c>
      <c r="C47" t="inlineStr">
        <is>
          <t>2049-02-15</t>
        </is>
      </c>
      <c r="D47" t="inlineStr">
        <is>
          <t>30-Year</t>
        </is>
      </c>
      <c r="E47" t="inlineStr">
        <is>
          <t>TIPS of February 2049</t>
        </is>
      </c>
      <c r="F47" t="inlineStr">
        <is>
          <t>2019-02-28</t>
        </is>
      </c>
      <c r="G47" t="inlineStr">
        <is>
          <t>251.635500</t>
        </is>
      </c>
      <c r="H47" t="inlineStr">
        <is>
          <t>1.28856</t>
        </is>
      </c>
      <c r="I47" t="inlineStr">
        <is>
          <t>2026-03-06</t>
        </is>
      </c>
      <c r="J47" t="n">
        <v>1288.56</v>
      </c>
      <c r="K47" t="n">
        <v>324.2472258064516</v>
      </c>
      <c r="L47" t="n">
        <v>1.28856</v>
      </c>
    </row>
    <row r="48">
      <c r="A48" t="inlineStr">
        <is>
          <t>912810SM1</t>
        </is>
      </c>
      <c r="B48" t="inlineStr">
        <is>
          <t>0.250000</t>
        </is>
      </c>
      <c r="C48" t="inlineStr">
        <is>
          <t>2050-02-15</t>
        </is>
      </c>
      <c r="D48" t="inlineStr">
        <is>
          <t>30-Year</t>
        </is>
      </c>
      <c r="E48" t="inlineStr">
        <is>
          <t>TIPS of February 2050</t>
        </is>
      </c>
      <c r="F48" t="inlineStr">
        <is>
          <t>2020-02-28</t>
        </is>
      </c>
      <c r="G48" t="inlineStr">
        <is>
          <t>257.095030</t>
        </is>
      </c>
      <c r="H48" t="inlineStr">
        <is>
          <t>1.26120</t>
        </is>
      </c>
      <c r="I48" t="inlineStr">
        <is>
          <t>2026-03-06</t>
        </is>
      </c>
      <c r="J48" t="n">
        <v>1261.2</v>
      </c>
      <c r="K48" t="n">
        <v>324.2472258064516</v>
      </c>
      <c r="L48" t="n">
        <v>1.2612</v>
      </c>
    </row>
    <row r="49">
      <c r="A49" t="inlineStr">
        <is>
          <t>912810SV1</t>
        </is>
      </c>
      <c r="B49" t="inlineStr">
        <is>
          <t>0.125000</t>
        </is>
      </c>
      <c r="C49" t="inlineStr">
        <is>
          <t>2051-02-15</t>
        </is>
      </c>
      <c r="D49" t="inlineStr">
        <is>
          <t>30-Year</t>
        </is>
      </c>
      <c r="E49" t="inlineStr">
        <is>
          <t>TIPS of February 2051</t>
        </is>
      </c>
      <c r="F49" t="inlineStr">
        <is>
          <t>2021-02-26</t>
        </is>
      </c>
      <c r="G49" t="inlineStr">
        <is>
          <t>260.351500</t>
        </is>
      </c>
      <c r="H49" t="inlineStr">
        <is>
          <t>1.24542</t>
        </is>
      </c>
      <c r="I49" t="inlineStr">
        <is>
          <t>2026-03-06</t>
        </is>
      </c>
      <c r="J49" t="n">
        <v>1245.42</v>
      </c>
      <c r="K49" t="n">
        <v>324.2472258064516</v>
      </c>
      <c r="L49" t="n">
        <v>1.24542</v>
      </c>
    </row>
    <row r="50">
      <c r="A50" t="inlineStr">
        <is>
          <t>912810TE8</t>
        </is>
      </c>
      <c r="B50" t="inlineStr">
        <is>
          <t>0.125000</t>
        </is>
      </c>
      <c r="C50" t="inlineStr">
        <is>
          <t>2052-02-15</t>
        </is>
      </c>
      <c r="D50" t="inlineStr">
        <is>
          <t>30-Year</t>
        </is>
      </c>
      <c r="E50" t="inlineStr">
        <is>
          <t>TIPS of February 2052</t>
        </is>
      </c>
      <c r="F50" t="inlineStr">
        <is>
          <t>2022-02-28</t>
        </is>
      </c>
      <c r="G50" t="inlineStr">
        <is>
          <t>278.375000</t>
        </is>
      </c>
      <c r="H50" t="inlineStr">
        <is>
          <t>1.16479</t>
        </is>
      </c>
      <c r="I50" t="inlineStr">
        <is>
          <t>2026-03-06</t>
        </is>
      </c>
      <c r="J50" t="n">
        <v>1164.79</v>
      </c>
      <c r="K50" t="n">
        <v>324.2472258064516</v>
      </c>
      <c r="L50" t="n">
        <v>1.16479</v>
      </c>
    </row>
    <row r="51">
      <c r="A51" t="inlineStr">
        <is>
          <t>912810TP3</t>
        </is>
      </c>
      <c r="B51" t="inlineStr">
        <is>
          <t>1.500000</t>
        </is>
      </c>
      <c r="C51" t="inlineStr">
        <is>
          <t>2053-02-15</t>
        </is>
      </c>
      <c r="D51" t="inlineStr">
        <is>
          <t>30-Year</t>
        </is>
      </c>
      <c r="E51" t="inlineStr">
        <is>
          <t>TIPS of February 2053</t>
        </is>
      </c>
      <c r="F51" t="inlineStr">
        <is>
          <t>2023-02-28</t>
        </is>
      </c>
      <c r="G51" t="inlineStr">
        <is>
          <t>297.254000</t>
        </is>
      </c>
      <c r="H51" t="inlineStr">
        <is>
          <t>1.09081</t>
        </is>
      </c>
      <c r="I51" t="inlineStr">
        <is>
          <t>2026-03-06</t>
        </is>
      </c>
      <c r="J51" t="n">
        <v>1090.81</v>
      </c>
      <c r="K51" t="n">
        <v>324.2472258064516</v>
      </c>
      <c r="L51" t="n">
        <v>1.09081</v>
      </c>
    </row>
    <row r="52">
      <c r="A52" t="inlineStr">
        <is>
          <t>912810TY4</t>
        </is>
      </c>
      <c r="B52" t="inlineStr">
        <is>
          <t>2.125000</t>
        </is>
      </c>
      <c r="C52" t="inlineStr">
        <is>
          <t>2054-02-15</t>
        </is>
      </c>
      <c r="D52" t="inlineStr">
        <is>
          <t>30-Year</t>
        </is>
      </c>
      <c r="E52" t="inlineStr">
        <is>
          <t>TIPS of February 2054</t>
        </is>
      </c>
      <c r="F52" t="inlineStr">
        <is>
          <t>2024-02-29</t>
        </is>
      </c>
      <c r="G52" t="inlineStr">
        <is>
          <t>306.903760</t>
        </is>
      </c>
      <c r="H52" t="inlineStr">
        <is>
          <t>1.05651</t>
        </is>
      </c>
      <c r="I52" t="inlineStr">
        <is>
          <t>2026-03-06</t>
        </is>
      </c>
      <c r="J52" t="n">
        <v>1056.51</v>
      </c>
      <c r="K52" t="n">
        <v>324.2472258064516</v>
      </c>
      <c r="L52" t="n">
        <v>1.05651</v>
      </c>
    </row>
    <row r="53">
      <c r="A53" t="inlineStr">
        <is>
          <t>912810UH9</t>
        </is>
      </c>
      <c r="B53" t="inlineStr">
        <is>
          <t>2.375000</t>
        </is>
      </c>
      <c r="C53" t="inlineStr">
        <is>
          <t>2055-02-15</t>
        </is>
      </c>
      <c r="D53" t="inlineStr">
        <is>
          <t>30-Year</t>
        </is>
      </c>
      <c r="E53" t="inlineStr">
        <is>
          <t>TIPS of February 2055</t>
        </is>
      </c>
      <c r="F53" t="inlineStr">
        <is>
          <t>2025-02-28</t>
        </is>
      </c>
      <c r="G53" t="inlineStr">
        <is>
          <t>315.549000</t>
        </is>
      </c>
      <c r="H53" t="inlineStr">
        <is>
          <t>1.02757</t>
        </is>
      </c>
      <c r="I53" t="inlineStr">
        <is>
          <t>2026-03-06</t>
        </is>
      </c>
      <c r="J53" t="n">
        <v>1027.57</v>
      </c>
      <c r="K53" t="n">
        <v>324.2472258064516</v>
      </c>
      <c r="L53" t="n">
        <v>1.02757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Michael Weinberg</dc:creator>
  <dcterms:created xsi:type="dcterms:W3CDTF">2023-01-14T19:29:55Z</dcterms:created>
  <dcterms:modified xsi:type="dcterms:W3CDTF">2026-03-06T15:25:44Z</dcterms:modified>
  <cp:lastModifiedBy>James Cox</cp:lastModifiedBy>
</cp:coreProperties>
</file>